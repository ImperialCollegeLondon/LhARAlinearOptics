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3109814097/WOPIServiceId_TP_BOX_2/WOPIUserId_-/"/>
    </mc:Choice>
  </mc:AlternateContent>
  <xr:revisionPtr revIDLastSave="24" documentId="13_ncr:1_{F43C4D03-008F-5342-8A2E-31DFEFBB2B4F}" xr6:coauthVersionLast="47" xr6:coauthVersionMax="47" xr10:uidLastSave="{9B5A0416-7CAB-4E48-B931-5353E06D78C3}"/>
  <bookViews>
    <workbookView xWindow="7440" yWindow="920" windowWidth="22720" windowHeight="18580" activeTab="1" xr2:uid="{008B2FEE-BD6E-8742-A59F-ADD463C42F77}"/>
  </bookViews>
  <sheets>
    <sheet name="Default" sheetId="1" r:id="rId1"/>
    <sheet name="Shif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" l="1"/>
  <c r="P7" i="2"/>
  <c r="M30" i="2"/>
  <c r="E7" i="2"/>
  <c r="D30" i="2"/>
  <c r="O30" i="2" s="1"/>
  <c r="M29" i="2"/>
  <c r="D29" i="2"/>
  <c r="O29" i="2" s="1"/>
  <c r="M28" i="2"/>
  <c r="D28" i="2"/>
  <c r="O28" i="2" s="1"/>
  <c r="M27" i="2"/>
  <c r="D27" i="2"/>
  <c r="O27" i="2" s="1"/>
  <c r="M26" i="2"/>
  <c r="D26" i="2"/>
  <c r="O26" i="2" s="1"/>
  <c r="M25" i="2"/>
  <c r="D25" i="2"/>
  <c r="I12" i="2"/>
  <c r="I13" i="2" s="1"/>
  <c r="M4" i="2"/>
  <c r="B4" i="2"/>
  <c r="E11" i="1"/>
  <c r="E12" i="1" s="1"/>
  <c r="E14" i="1" s="1"/>
  <c r="Q26" i="1"/>
  <c r="Q27" i="1"/>
  <c r="Q28" i="1"/>
  <c r="Q29" i="1"/>
  <c r="Q30" i="1"/>
  <c r="Q25" i="1"/>
  <c r="M30" i="1"/>
  <c r="M29" i="1"/>
  <c r="M28" i="1"/>
  <c r="M27" i="1"/>
  <c r="M26" i="1"/>
  <c r="M25" i="1"/>
  <c r="M4" i="1"/>
  <c r="M5" i="1" s="1"/>
  <c r="F29" i="1"/>
  <c r="F30" i="1"/>
  <c r="B11" i="1"/>
  <c r="B12" i="1" s="1"/>
  <c r="B5" i="2" l="1"/>
  <c r="B11" i="2" s="1"/>
  <c r="B12" i="2" s="1"/>
  <c r="O25" i="2"/>
  <c r="F37" i="2"/>
  <c r="E6" i="2"/>
  <c r="B7" i="2"/>
  <c r="E11" i="2" s="1"/>
  <c r="M5" i="2"/>
  <c r="B6" i="2"/>
  <c r="G22" i="2" s="1"/>
  <c r="F36" i="2" s="1"/>
  <c r="M7" i="1"/>
  <c r="M11" i="1"/>
  <c r="M12" i="1" s="1"/>
  <c r="P6" i="1" s="1"/>
  <c r="P7" i="1" s="1"/>
  <c r="P12" i="1" s="1"/>
  <c r="M6" i="1"/>
  <c r="R22" i="1" s="1"/>
  <c r="E13" i="1"/>
  <c r="Q37" i="2" l="1"/>
  <c r="M6" i="2"/>
  <c r="R22" i="2" s="1"/>
  <c r="Q36" i="2" s="1"/>
  <c r="M7" i="2"/>
  <c r="E12" i="2"/>
  <c r="I4" i="2"/>
  <c r="I7" i="2" s="1"/>
  <c r="M11" i="2"/>
  <c r="M12" i="2" s="1"/>
  <c r="P6" i="2" s="1"/>
  <c r="D21" i="1"/>
  <c r="B19" i="1"/>
  <c r="C19" i="1"/>
  <c r="E20" i="1"/>
  <c r="C18" i="1"/>
  <c r="E21" i="1"/>
  <c r="D20" i="1"/>
  <c r="B18" i="1"/>
  <c r="P14" i="1"/>
  <c r="P13" i="1"/>
  <c r="G22" i="1"/>
  <c r="I12" i="1"/>
  <c r="I13" i="1" s="1"/>
  <c r="B4" i="1"/>
  <c r="B5" i="1" s="1"/>
  <c r="P14" i="2" l="1"/>
  <c r="P13" i="2"/>
  <c r="M18" i="2" s="1"/>
  <c r="E13" i="2"/>
  <c r="E14" i="2"/>
  <c r="F27" i="1"/>
  <c r="F25" i="1"/>
  <c r="D25" i="1" a="1"/>
  <c r="F26" i="1"/>
  <c r="F28" i="1"/>
  <c r="P21" i="1"/>
  <c r="N19" i="1"/>
  <c r="M19" i="1"/>
  <c r="N18" i="1"/>
  <c r="M18" i="1"/>
  <c r="P20" i="1"/>
  <c r="O21" i="1"/>
  <c r="O20" i="1"/>
  <c r="E6" i="1"/>
  <c r="E7" i="1" s="1"/>
  <c r="B6" i="1"/>
  <c r="B7" i="1"/>
  <c r="C18" i="2" l="1"/>
  <c r="B18" i="2"/>
  <c r="E20" i="2"/>
  <c r="D20" i="2"/>
  <c r="C19" i="2"/>
  <c r="B19" i="2"/>
  <c r="E21" i="2"/>
  <c r="D21" i="2"/>
  <c r="F35" i="2" s="1"/>
  <c r="P20" i="2"/>
  <c r="O20" i="2"/>
  <c r="N19" i="2"/>
  <c r="M19" i="2"/>
  <c r="P21" i="2"/>
  <c r="O21" i="2"/>
  <c r="N18" i="2"/>
  <c r="D25" i="1"/>
  <c r="H25" i="1" s="1"/>
  <c r="D30" i="1"/>
  <c r="H30" i="1" s="1"/>
  <c r="D28" i="1"/>
  <c r="H28" i="1" s="1"/>
  <c r="D27" i="1"/>
  <c r="H27" i="1" s="1"/>
  <c r="D26" i="1"/>
  <c r="H26" i="1" s="1"/>
  <c r="D29" i="1"/>
  <c r="H29" i="1" s="1"/>
  <c r="O25" i="1" a="1"/>
  <c r="I4" i="1"/>
  <c r="I7" i="1" s="1"/>
  <c r="Q33" i="2" l="1"/>
  <c r="Q35" i="2"/>
  <c r="F33" i="2"/>
  <c r="Q34" i="2"/>
  <c r="F34" i="2"/>
  <c r="D32" i="2" a="1"/>
  <c r="F32" i="2"/>
  <c r="O32" i="2" a="1"/>
  <c r="Q32" i="2"/>
  <c r="O27" i="1"/>
  <c r="S27" i="1" s="1"/>
  <c r="O29" i="1"/>
  <c r="S29" i="1" s="1"/>
  <c r="O26" i="1"/>
  <c r="S26" i="1" s="1"/>
  <c r="O30" i="1"/>
  <c r="S30" i="1" s="1"/>
  <c r="O25" i="1"/>
  <c r="S25" i="1" s="1"/>
  <c r="O28" i="1"/>
  <c r="S28" i="1" s="1"/>
  <c r="O37" i="2" l="1"/>
  <c r="O36" i="2"/>
  <c r="O35" i="2"/>
  <c r="O33" i="2"/>
  <c r="O34" i="2"/>
  <c r="O32" i="2"/>
  <c r="O39" i="2" s="1"/>
  <c r="D37" i="2"/>
  <c r="D36" i="2"/>
  <c r="D34" i="2"/>
  <c r="D33" i="2"/>
  <c r="D35" i="2"/>
  <c r="D32" i="2"/>
  <c r="H34" i="2" l="1"/>
  <c r="D41" i="2"/>
  <c r="D44" i="2"/>
  <c r="H37" i="2"/>
  <c r="S34" i="2"/>
  <c r="O41" i="2"/>
  <c r="D39" i="2"/>
  <c r="H32" i="2"/>
  <c r="S36" i="2"/>
  <c r="O43" i="2"/>
  <c r="H33" i="2"/>
  <c r="D40" i="2"/>
  <c r="D43" i="2"/>
  <c r="H36" i="2"/>
  <c r="S32" i="2"/>
  <c r="S33" i="2"/>
  <c r="O40" i="2"/>
  <c r="S35" i="2"/>
  <c r="O42" i="2"/>
  <c r="H35" i="2"/>
  <c r="D42" i="2"/>
  <c r="O44" i="2"/>
  <c r="S37" i="2"/>
</calcChain>
</file>

<file path=xl/sharedStrings.xml><?xml version="1.0" encoding="utf-8"?>
<sst xmlns="http://schemas.openxmlformats.org/spreadsheetml/2006/main" count="171" uniqueCount="45">
  <si>
    <t>p</t>
  </si>
  <si>
    <t>MeV</t>
  </si>
  <si>
    <t>Brho</t>
  </si>
  <si>
    <t>Transfer matrix</t>
  </si>
  <si>
    <t>Particle</t>
  </si>
  <si>
    <t>Length</t>
  </si>
  <si>
    <t>m</t>
  </si>
  <si>
    <t>Strength</t>
  </si>
  <si>
    <t>T/m</t>
  </si>
  <si>
    <r>
      <t>m</t>
    </r>
    <r>
      <rPr>
        <vertAlign val="superscript"/>
        <sz val="12"/>
        <color theme="1"/>
        <rFont val="Calibri (Body)"/>
      </rPr>
      <t>-2</t>
    </r>
  </si>
  <si>
    <r>
      <t>m</t>
    </r>
    <r>
      <rPr>
        <vertAlign val="superscript"/>
        <sz val="12"/>
        <color theme="1"/>
        <rFont val="Calibri (Body)"/>
      </rPr>
      <t>-1</t>
    </r>
  </si>
  <si>
    <t>R</t>
  </si>
  <si>
    <t>Rprime</t>
  </si>
  <si>
    <t>Check</t>
  </si>
  <si>
    <t>Defocus quad test sheet:</t>
  </si>
  <si>
    <t>c</t>
  </si>
  <si>
    <t>1/c</t>
  </si>
  <si>
    <t>1/c*10^9</t>
  </si>
  <si>
    <t>m/s</t>
  </si>
  <si>
    <t>s/m</t>
  </si>
  <si>
    <r>
      <t>m</t>
    </r>
    <r>
      <rPr>
        <vertAlign val="subscript"/>
        <sz val="12"/>
        <color theme="1"/>
        <rFont val="Calibri (Body)"/>
      </rPr>
      <t>p</t>
    </r>
  </si>
  <si>
    <r>
      <t>MeV/c</t>
    </r>
    <r>
      <rPr>
        <vertAlign val="superscript"/>
        <sz val="12"/>
        <color theme="1"/>
        <rFont val="Calibri (Body)"/>
      </rPr>
      <t>2</t>
    </r>
  </si>
  <si>
    <t>Reference particle</t>
  </si>
  <si>
    <t>Quadrupole</t>
  </si>
  <si>
    <t>Alternative input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</si>
  <si>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</si>
  <si>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</si>
  <si>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t>kFQ</t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</si>
  <si>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</si>
  <si>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</si>
  <si>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</si>
  <si>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charge</t>
  </si>
  <si>
    <t>Derived parameters</t>
  </si>
  <si>
    <t>E</t>
  </si>
  <si>
    <t>D</t>
  </si>
  <si>
    <t>sqrt(k/D)</t>
  </si>
  <si>
    <t>l*sqrt(k/D)</t>
  </si>
  <si>
    <t>D*sqrt(k/D)</t>
  </si>
  <si>
    <t>kDQ</t>
  </si>
  <si>
    <t>Diff</t>
  </si>
  <si>
    <t>Deocus quad test sheet: no reference particle</t>
  </si>
  <si>
    <r>
      <t>R'</t>
    </r>
    <r>
      <rPr>
        <b/>
        <i/>
        <vertAlign val="subscript"/>
        <sz val="12"/>
        <color theme="1"/>
        <rFont val="Calibri (Body)"/>
      </rPr>
      <t>element</t>
    </r>
  </si>
  <si>
    <r>
      <t>Rprime</t>
    </r>
    <r>
      <rPr>
        <b/>
        <i/>
        <vertAlign val="subscript"/>
        <sz val="12"/>
        <color theme="1"/>
        <rFont val="Calibri (Body)"/>
      </rPr>
      <t>element</t>
    </r>
  </si>
  <si>
    <r>
      <rPr>
        <sz val="12"/>
        <color theme="1"/>
        <rFont val="Symbol"/>
        <charset val="2"/>
      </rPr>
      <t>d</t>
    </r>
    <r>
      <rPr>
        <b/>
        <sz val="12"/>
        <color theme="1"/>
        <rFont val="Calibri (Body)"/>
      </rPr>
      <t>r</t>
    </r>
  </si>
  <si>
    <r>
      <t>m</t>
    </r>
    <r>
      <rPr>
        <vertAlign val="subscript"/>
        <sz val="12"/>
        <color theme="1"/>
        <rFont val="Calibri (Body)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</si>
</sst>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b/>
      <sz val="12"/>
      <color theme="1"/>
      <name val="Symbol"/>
      <charset val="2"/>
    </font>
    <font>
      <sz val="12"/>
      <color theme="1"/>
      <name val="Calibri"/>
      <family val="2"/>
      <charset val="2"/>
    </font>
    <font>
      <sz val="12"/>
      <color theme="1"/>
      <name val="Symbol"/>
      <charset val="2"/>
    </font>
    <font>
      <b/>
      <i/>
      <sz val="12"/>
      <color theme="1"/>
      <name val="Symbol"/>
      <charset val="2"/>
    </font>
    <font>
      <b/>
      <i/>
      <vertAlign val="subscript"/>
      <sz val="12"/>
      <color theme="1"/>
      <name val="Calibri (Body)"/>
    </font>
    <font>
      <b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6" xfId="0" applyFill="1" applyBorder="1"/>
    <xf numFmtId="0" fontId="6" fillId="0" borderId="7" xfId="0" applyFont="1" applyBorder="1" applyAlignment="1">
      <alignment horizontal="right"/>
    </xf>
    <xf numFmtId="164" fontId="0" fillId="0" borderId="0" xfId="0" applyNumberFormat="1"/>
    <xf numFmtId="0" fontId="5" fillId="0" borderId="7" xfId="0" applyFont="1" applyBorder="1" applyAlignment="1">
      <alignment horizontal="right"/>
    </xf>
    <xf numFmtId="2" fontId="0" fillId="0" borderId="10" xfId="0" applyNumberFormat="1" applyBorder="1"/>
    <xf numFmtId="0" fontId="5" fillId="0" borderId="9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2" fontId="0" fillId="0" borderId="11" xfId="0" applyNumberFormat="1" applyBorder="1"/>
    <xf numFmtId="0" fontId="9" fillId="0" borderId="7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0" xfId="0" applyFont="1" applyAlignment="1">
      <alignment horizontal="left"/>
    </xf>
    <xf numFmtId="0" fontId="9" fillId="3" borderId="1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S30"/>
  <sheetViews>
    <sheetView zoomScaleNormal="100" workbookViewId="0">
      <selection activeCell="S30" sqref="A1:S30"/>
    </sheetView>
  </sheetViews>
  <sheetFormatPr baseColWidth="10" defaultRowHeight="16" x14ac:dyDescent="0.2"/>
  <cols>
    <col min="1" max="1" width="17.33203125" style="1" customWidth="1"/>
    <col min="11" max="11" width="12.1640625" bestFit="1" customWidth="1"/>
  </cols>
  <sheetData>
    <row r="1" spans="1:17" ht="21" x14ac:dyDescent="0.25">
      <c r="A1" s="41" t="s">
        <v>14</v>
      </c>
      <c r="B1" s="42"/>
      <c r="C1" s="42"/>
      <c r="D1" s="42"/>
      <c r="E1" s="42"/>
      <c r="F1" s="43"/>
      <c r="L1" s="41" t="s">
        <v>40</v>
      </c>
      <c r="M1" s="42"/>
      <c r="N1" s="42"/>
      <c r="O1" s="42"/>
      <c r="P1" s="42"/>
      <c r="Q1" s="43"/>
    </row>
    <row r="2" spans="1:17" x14ac:dyDescent="0.2">
      <c r="A2" s="44" t="s">
        <v>22</v>
      </c>
      <c r="B2" s="45"/>
      <c r="C2" s="46"/>
      <c r="D2" s="16"/>
      <c r="E2" s="15" t="s">
        <v>23</v>
      </c>
      <c r="F2" s="17"/>
      <c r="H2" s="47" t="s">
        <v>24</v>
      </c>
      <c r="I2" s="48"/>
      <c r="J2" s="49"/>
      <c r="L2" s="44" t="s">
        <v>22</v>
      </c>
      <c r="M2" s="45"/>
      <c r="N2" s="46"/>
      <c r="O2" s="16"/>
      <c r="P2" s="15" t="s">
        <v>23</v>
      </c>
      <c r="Q2" s="17"/>
    </row>
    <row r="3" spans="1:17" ht="18" x14ac:dyDescent="0.25">
      <c r="A3" s="18" t="s">
        <v>25</v>
      </c>
      <c r="B3" s="19">
        <v>20</v>
      </c>
      <c r="C3" s="6" t="s">
        <v>1</v>
      </c>
      <c r="D3" s="20" t="s">
        <v>5</v>
      </c>
      <c r="E3">
        <v>0.1</v>
      </c>
      <c r="F3" s="6" t="s">
        <v>6</v>
      </c>
      <c r="H3" s="20" t="s">
        <v>5</v>
      </c>
      <c r="I3">
        <v>0.1</v>
      </c>
      <c r="J3" s="6" t="s">
        <v>6</v>
      </c>
      <c r="L3" s="18" t="s">
        <v>25</v>
      </c>
      <c r="M3" s="19">
        <v>20</v>
      </c>
      <c r="N3" s="6" t="s">
        <v>1</v>
      </c>
      <c r="O3" s="20" t="s">
        <v>5</v>
      </c>
      <c r="P3">
        <v>0.1</v>
      </c>
      <c r="Q3" s="6" t="s">
        <v>6</v>
      </c>
    </row>
    <row r="4" spans="1:17" ht="20" x14ac:dyDescent="0.25">
      <c r="A4" s="5" t="s">
        <v>26</v>
      </c>
      <c r="B4" s="19">
        <f>I10+B3</f>
        <v>958.27208815999995</v>
      </c>
      <c r="C4" s="6" t="s">
        <v>1</v>
      </c>
      <c r="D4" s="20" t="s">
        <v>7</v>
      </c>
      <c r="E4">
        <v>100</v>
      </c>
      <c r="F4" s="6" t="s">
        <v>8</v>
      </c>
      <c r="H4" s="20" t="s">
        <v>27</v>
      </c>
      <c r="I4">
        <f>E7</f>
        <v>153.93033817521612</v>
      </c>
      <c r="J4" s="6" t="s">
        <v>9</v>
      </c>
      <c r="L4" s="5" t="s">
        <v>26</v>
      </c>
      <c r="M4" s="19">
        <f>I10+M3</f>
        <v>958.27208815999995</v>
      </c>
      <c r="N4" s="6" t="s">
        <v>1</v>
      </c>
      <c r="O4" s="20" t="s">
        <v>7</v>
      </c>
      <c r="P4">
        <v>100</v>
      </c>
      <c r="Q4" s="6" t="s">
        <v>8</v>
      </c>
    </row>
    <row r="5" spans="1:17" ht="18" x14ac:dyDescent="0.25">
      <c r="A5" s="18" t="s">
        <v>28</v>
      </c>
      <c r="B5" s="19">
        <f>SQRT(B4^2 -I10^ 2)</f>
        <v>194.75852619692921</v>
      </c>
      <c r="C5" s="6" t="s">
        <v>1</v>
      </c>
      <c r="D5" s="7"/>
      <c r="E5" s="21"/>
      <c r="F5" s="9"/>
      <c r="H5" s="22"/>
      <c r="I5" s="23"/>
      <c r="J5" s="24"/>
      <c r="L5" s="18" t="s">
        <v>28</v>
      </c>
      <c r="M5" s="19">
        <f>SQRT(M4^2 -I10^ 2)</f>
        <v>194.75852619692921</v>
      </c>
      <c r="N5" s="6" t="s">
        <v>1</v>
      </c>
      <c r="O5" s="7"/>
      <c r="P5" s="21"/>
      <c r="Q5" s="9"/>
    </row>
    <row r="6" spans="1:17" ht="18" x14ac:dyDescent="0.25">
      <c r="A6" s="25" t="s">
        <v>29</v>
      </c>
      <c r="B6">
        <f>B5/I10</f>
        <v>0.20757148022900346</v>
      </c>
      <c r="C6" s="6"/>
      <c r="D6" s="26" t="s">
        <v>2</v>
      </c>
      <c r="E6">
        <f>B5*I13/1000</f>
        <v>0.64964451573004278</v>
      </c>
      <c r="F6" s="6"/>
      <c r="H6" s="12"/>
      <c r="J6" s="6"/>
      <c r="L6" s="25" t="s">
        <v>29</v>
      </c>
      <c r="M6">
        <f>M5/I10</f>
        <v>0.20757148022900346</v>
      </c>
      <c r="N6" s="6"/>
      <c r="O6" s="26" t="s">
        <v>2</v>
      </c>
      <c r="P6">
        <f>M12*I13/1000</f>
        <v>1.6137238800416533</v>
      </c>
      <c r="Q6" s="6"/>
    </row>
    <row r="7" spans="1:17" ht="20" x14ac:dyDescent="0.25">
      <c r="A7" s="25" t="s">
        <v>30</v>
      </c>
      <c r="B7">
        <f>B5/B4</f>
        <v>0.20323927682260837</v>
      </c>
      <c r="C7" s="6"/>
      <c r="D7" s="20" t="s">
        <v>38</v>
      </c>
      <c r="E7">
        <f>E4/E6</f>
        <v>153.93033817521612</v>
      </c>
      <c r="F7" s="6" t="s">
        <v>9</v>
      </c>
      <c r="H7" s="20" t="s">
        <v>7</v>
      </c>
      <c r="I7" s="1">
        <f>I4*E6</f>
        <v>100</v>
      </c>
      <c r="J7" s="6" t="s">
        <v>8</v>
      </c>
      <c r="L7" s="25" t="s">
        <v>30</v>
      </c>
      <c r="M7">
        <f>M5/M4</f>
        <v>0.20323927682260837</v>
      </c>
      <c r="N7" s="6"/>
      <c r="O7" s="20" t="s">
        <v>27</v>
      </c>
      <c r="P7">
        <f>P4/P6</f>
        <v>61.968470093792504</v>
      </c>
      <c r="Q7" s="6" t="s">
        <v>9</v>
      </c>
    </row>
    <row r="8" spans="1:17" x14ac:dyDescent="0.2">
      <c r="A8" s="7" t="s">
        <v>31</v>
      </c>
      <c r="B8" s="8">
        <v>1</v>
      </c>
      <c r="C8" s="9"/>
      <c r="D8" s="27"/>
      <c r="E8" s="8"/>
      <c r="F8" s="9"/>
      <c r="H8" s="22"/>
      <c r="I8" s="28"/>
      <c r="J8" s="9"/>
      <c r="L8" s="7" t="s">
        <v>31</v>
      </c>
      <c r="M8" s="8">
        <v>1</v>
      </c>
      <c r="N8" s="9"/>
      <c r="O8" s="27"/>
      <c r="P8" s="8"/>
      <c r="Q8" s="9"/>
    </row>
    <row r="9" spans="1:17" x14ac:dyDescent="0.2">
      <c r="D9" s="1"/>
      <c r="H9" s="26"/>
      <c r="I9" s="13"/>
    </row>
    <row r="10" spans="1:17" ht="20" x14ac:dyDescent="0.25">
      <c r="A10" s="44" t="s">
        <v>4</v>
      </c>
      <c r="B10" s="45"/>
      <c r="C10" s="46"/>
      <c r="D10" s="44" t="s">
        <v>32</v>
      </c>
      <c r="E10" s="45"/>
      <c r="F10" s="46"/>
      <c r="H10" s="10" t="s">
        <v>20</v>
      </c>
      <c r="I10" s="11">
        <v>938.27208815999995</v>
      </c>
      <c r="J10" s="4" t="s">
        <v>21</v>
      </c>
      <c r="L10" s="44" t="s">
        <v>4</v>
      </c>
      <c r="M10" s="45"/>
      <c r="N10" s="46"/>
      <c r="O10" s="44" t="s">
        <v>32</v>
      </c>
      <c r="P10" s="45"/>
      <c r="Q10" s="46"/>
    </row>
    <row r="11" spans="1:17" x14ac:dyDescent="0.2">
      <c r="A11" s="13" t="s">
        <v>33</v>
      </c>
      <c r="B11">
        <f>B4+B5*B30</f>
        <v>1055.6513512584645</v>
      </c>
      <c r="D11" s="29" t="s">
        <v>34</v>
      </c>
      <c r="E11">
        <f>SQRT(1+(2*B30/B7) + B30^2)</f>
        <v>2.4840106257623371</v>
      </c>
      <c r="F11" s="6"/>
      <c r="H11" s="10" t="s">
        <v>15</v>
      </c>
      <c r="I11" s="11">
        <v>299792458</v>
      </c>
      <c r="J11" s="4" t="s">
        <v>18</v>
      </c>
      <c r="L11" s="29" t="s">
        <v>33</v>
      </c>
      <c r="M11">
        <f>M4+M5*B30</f>
        <v>1055.6513512584645</v>
      </c>
      <c r="N11" s="6"/>
      <c r="O11" s="29" t="s">
        <v>34</v>
      </c>
      <c r="P11">
        <v>1</v>
      </c>
      <c r="Q11" s="6"/>
    </row>
    <row r="12" spans="1:17" ht="19" x14ac:dyDescent="0.2">
      <c r="A12" s="13" t="s">
        <v>0</v>
      </c>
      <c r="B12" s="19">
        <f>SQRT(B11^2 -I10^ 2)</f>
        <v>483.78224853098436</v>
      </c>
      <c r="D12" s="29" t="s">
        <v>35</v>
      </c>
      <c r="E12">
        <f>SQRT(E7/E11)</f>
        <v>7.8720054683538221</v>
      </c>
      <c r="F12" s="6" t="s">
        <v>10</v>
      </c>
      <c r="H12" s="5" t="s">
        <v>16</v>
      </c>
      <c r="I12">
        <f>1/I11</f>
        <v>3.3356409519815204E-9</v>
      </c>
      <c r="J12" s="6" t="s">
        <v>19</v>
      </c>
      <c r="L12" s="29" t="s">
        <v>0</v>
      </c>
      <c r="M12" s="19">
        <f>SQRT(M11^2 -I10^ 2)</f>
        <v>483.78224853098436</v>
      </c>
      <c r="N12" s="6"/>
      <c r="O12" s="29" t="s">
        <v>35</v>
      </c>
      <c r="P12">
        <f>SQRT(P7/P11)</f>
        <v>7.8720054683538239</v>
      </c>
      <c r="Q12" s="6" t="s">
        <v>10</v>
      </c>
    </row>
    <row r="13" spans="1:17" x14ac:dyDescent="0.2">
      <c r="A13" s="30"/>
      <c r="C13" s="6"/>
      <c r="D13" s="29" t="s">
        <v>36</v>
      </c>
      <c r="E13">
        <f>E12*E3</f>
        <v>0.78720054683538221</v>
      </c>
      <c r="F13" s="6"/>
      <c r="H13" s="7" t="s">
        <v>17</v>
      </c>
      <c r="I13" s="8">
        <f>I12*1000000000</f>
        <v>3.3356409519815204</v>
      </c>
      <c r="J13" s="9" t="s">
        <v>19</v>
      </c>
      <c r="L13" s="30"/>
      <c r="N13" s="6"/>
      <c r="O13" s="29" t="s">
        <v>36</v>
      </c>
      <c r="P13">
        <f>P12*P3</f>
        <v>0.78720054683538243</v>
      </c>
      <c r="Q13" s="6"/>
    </row>
    <row r="14" spans="1:17" ht="19" x14ac:dyDescent="0.2">
      <c r="A14" s="31"/>
      <c r="B14" s="8"/>
      <c r="C14" s="9"/>
      <c r="D14" s="27" t="s">
        <v>37</v>
      </c>
      <c r="E14" s="8">
        <f>E12*E11</f>
        <v>19.554145229450118</v>
      </c>
      <c r="F14" s="9" t="s">
        <v>10</v>
      </c>
      <c r="L14" s="31"/>
      <c r="M14" s="8"/>
      <c r="N14" s="9"/>
      <c r="O14" s="27" t="s">
        <v>37</v>
      </c>
      <c r="P14" s="8">
        <f>P12*P11</f>
        <v>7.8720054683538239</v>
      </c>
      <c r="Q14" s="9" t="s">
        <v>10</v>
      </c>
    </row>
    <row r="15" spans="1:17" x14ac:dyDescent="0.2">
      <c r="A15" s="14"/>
      <c r="B15" s="14"/>
      <c r="C15" s="14"/>
      <c r="D15" s="14"/>
      <c r="E15" s="14"/>
      <c r="F15" s="14"/>
    </row>
    <row r="16" spans="1:17" x14ac:dyDescent="0.2">
      <c r="A16" s="14"/>
      <c r="B16" s="14"/>
      <c r="C16" s="14"/>
      <c r="D16" s="14"/>
      <c r="E16" s="14"/>
      <c r="F16" s="14"/>
    </row>
    <row r="18" spans="1:19" x14ac:dyDescent="0.2">
      <c r="A18" s="13" t="s">
        <v>3</v>
      </c>
      <c r="B18" s="3">
        <f>COSH(E13)</f>
        <v>1.326176919807601</v>
      </c>
      <c r="C18" s="4">
        <f>SINH(E13)/E14</f>
        <v>4.454604468864936E-2</v>
      </c>
      <c r="D18" s="11">
        <v>0</v>
      </c>
      <c r="E18" s="11">
        <v>0</v>
      </c>
      <c r="F18" s="11">
        <v>0</v>
      </c>
      <c r="G18" s="4">
        <v>0</v>
      </c>
      <c r="L18" s="13" t="s">
        <v>3</v>
      </c>
      <c r="M18" s="3">
        <f>COSH(P13)</f>
        <v>1.3261769198076012</v>
      </c>
      <c r="N18" s="4">
        <f>SINH(P13)/P14</f>
        <v>0.11065284834228896</v>
      </c>
      <c r="O18" s="11">
        <v>0</v>
      </c>
      <c r="P18" s="11">
        <v>0</v>
      </c>
      <c r="Q18" s="11">
        <v>0</v>
      </c>
      <c r="R18" s="4">
        <v>0</v>
      </c>
    </row>
    <row r="19" spans="1:19" x14ac:dyDescent="0.2">
      <c r="B19" s="32">
        <f>SINH(E13)*E14</f>
        <v>17.032830365379439</v>
      </c>
      <c r="C19" s="9">
        <f>COSH(E13)</f>
        <v>1.326176919807601</v>
      </c>
      <c r="D19">
        <v>0</v>
      </c>
      <c r="E19">
        <v>0</v>
      </c>
      <c r="F19">
        <v>0</v>
      </c>
      <c r="G19" s="6">
        <v>0</v>
      </c>
      <c r="L19" s="1"/>
      <c r="M19" s="32">
        <f>SINH(P13)*P14</f>
        <v>6.8569877232920904</v>
      </c>
      <c r="N19" s="9">
        <f>COSH(P13)</f>
        <v>1.3261769198076012</v>
      </c>
      <c r="O19">
        <v>0</v>
      </c>
      <c r="P19">
        <v>0</v>
      </c>
      <c r="Q19">
        <v>0</v>
      </c>
      <c r="R19" s="6">
        <v>0</v>
      </c>
    </row>
    <row r="20" spans="1:19" x14ac:dyDescent="0.2">
      <c r="B20" s="12">
        <v>0</v>
      </c>
      <c r="C20">
        <v>0</v>
      </c>
      <c r="D20" s="3">
        <f>COS(E13)</f>
        <v>0.70583115577702338</v>
      </c>
      <c r="E20" s="4">
        <f>SIN(E13)/E14</f>
        <v>3.622659549610921E-2</v>
      </c>
      <c r="F20">
        <v>0</v>
      </c>
      <c r="G20" s="6">
        <v>0</v>
      </c>
      <c r="L20" s="1"/>
      <c r="M20" s="12">
        <v>0</v>
      </c>
      <c r="N20">
        <v>0</v>
      </c>
      <c r="O20" s="3">
        <f>COS(P13)</f>
        <v>0.70583115577702327</v>
      </c>
      <c r="P20" s="4">
        <f>SIN(P13)/P14</f>
        <v>8.9987248147529314E-2</v>
      </c>
      <c r="Q20">
        <v>0</v>
      </c>
      <c r="R20" s="6">
        <v>0</v>
      </c>
    </row>
    <row r="21" spans="1:19" x14ac:dyDescent="0.2">
      <c r="B21" s="12">
        <v>0</v>
      </c>
      <c r="C21">
        <v>0</v>
      </c>
      <c r="D21" s="32">
        <f>-SIN(E13)*E14</f>
        <v>-13.851767538806278</v>
      </c>
      <c r="E21" s="9">
        <f>COS(E13)</f>
        <v>0.70583115577702338</v>
      </c>
      <c r="F21">
        <v>0</v>
      </c>
      <c r="G21" s="6">
        <v>0</v>
      </c>
      <c r="L21" s="1"/>
      <c r="M21" s="12">
        <v>0</v>
      </c>
      <c r="N21">
        <v>0</v>
      </c>
      <c r="O21" s="32">
        <f>-SIN(P13)*P14</f>
        <v>-5.5763720956528555</v>
      </c>
      <c r="P21" s="9">
        <f>COS(P13)</f>
        <v>0.70583115577702327</v>
      </c>
      <c r="Q21">
        <v>0</v>
      </c>
      <c r="R21" s="6">
        <v>0</v>
      </c>
    </row>
    <row r="22" spans="1:19" x14ac:dyDescent="0.2">
      <c r="B22" s="12">
        <v>0</v>
      </c>
      <c r="C22">
        <v>0</v>
      </c>
      <c r="D22">
        <v>0</v>
      </c>
      <c r="E22">
        <v>0</v>
      </c>
      <c r="F22" s="3">
        <v>1</v>
      </c>
      <c r="G22" s="4">
        <f>E3/B6^2</f>
        <v>2.3209438578128516</v>
      </c>
      <c r="L22" s="1"/>
      <c r="M22" s="12">
        <v>0</v>
      </c>
      <c r="N22">
        <v>0</v>
      </c>
      <c r="O22">
        <v>0</v>
      </c>
      <c r="P22">
        <v>0</v>
      </c>
      <c r="Q22" s="3">
        <v>1</v>
      </c>
      <c r="R22" s="4">
        <f>P3/M6^2</f>
        <v>2.3209438578128516</v>
      </c>
    </row>
    <row r="23" spans="1:19" x14ac:dyDescent="0.2">
      <c r="B23" s="32">
        <v>0</v>
      </c>
      <c r="C23" s="8">
        <v>0</v>
      </c>
      <c r="D23" s="8">
        <v>0</v>
      </c>
      <c r="E23" s="8">
        <v>0</v>
      </c>
      <c r="F23" s="32">
        <v>0</v>
      </c>
      <c r="G23" s="9">
        <v>1</v>
      </c>
      <c r="L23" s="1"/>
      <c r="M23" s="32">
        <v>0</v>
      </c>
      <c r="N23" s="8">
        <v>0</v>
      </c>
      <c r="O23" s="8">
        <v>0</v>
      </c>
      <c r="P23" s="8">
        <v>0</v>
      </c>
      <c r="Q23" s="32">
        <v>0</v>
      </c>
      <c r="R23" s="9">
        <v>1</v>
      </c>
    </row>
    <row r="24" spans="1:19" x14ac:dyDescent="0.2">
      <c r="L24" s="1"/>
    </row>
    <row r="25" spans="1:19" x14ac:dyDescent="0.2">
      <c r="A25" s="13" t="s">
        <v>11</v>
      </c>
      <c r="B25" s="33">
        <v>0.5</v>
      </c>
      <c r="C25" s="2" t="s">
        <v>12</v>
      </c>
      <c r="D25" s="33">
        <f t="array" ref="D25:D30">MMULT(B18:G23,B25:B30)</f>
        <v>0.66754306437266542</v>
      </c>
      <c r="E25" s="2" t="s">
        <v>13</v>
      </c>
      <c r="F25" s="33">
        <f t="shared" ref="F25:F30" si="0">B$25*B18+B$26*C18+B$27*D18+B$28*E18+B$29*F18+B$30*G18</f>
        <v>0.66754306437266542</v>
      </c>
      <c r="G25" s="13" t="s">
        <v>39</v>
      </c>
      <c r="H25" s="33">
        <f t="shared" ref="H25:H30" si="1">D25-F25</f>
        <v>0</v>
      </c>
      <c r="L25" s="13" t="s">
        <v>11</v>
      </c>
      <c r="M25" s="33">
        <f>B25</f>
        <v>0.5</v>
      </c>
      <c r="N25" s="2" t="s">
        <v>12</v>
      </c>
      <c r="O25" s="33">
        <f t="array" ref="O25:O30">MMULT(M18:R23,M25:M30)</f>
        <v>0.67415374473802947</v>
      </c>
      <c r="P25" s="2" t="s">
        <v>13</v>
      </c>
      <c r="Q25" s="33">
        <f>M$25*M18+M$26*N18+M$27*O18+M$28*P18+M$29*Q18+M$30*R18</f>
        <v>0.67415374473802947</v>
      </c>
      <c r="R25" s="13" t="s">
        <v>39</v>
      </c>
      <c r="S25" s="33">
        <f t="shared" ref="S25:S30" si="2">O25-Q25</f>
        <v>0</v>
      </c>
    </row>
    <row r="26" spans="1:19" x14ac:dyDescent="0.2">
      <c r="B26" s="34">
        <v>0.1</v>
      </c>
      <c r="D26" s="34">
        <v>8.6490328746704801</v>
      </c>
      <c r="F26" s="34">
        <f t="shared" si="0"/>
        <v>8.6490328746704801</v>
      </c>
      <c r="H26" s="34">
        <f t="shared" si="1"/>
        <v>0</v>
      </c>
      <c r="L26" s="1"/>
      <c r="M26" s="34">
        <f t="shared" ref="M26:M30" si="3">B26</f>
        <v>0.1</v>
      </c>
      <c r="O26" s="34">
        <v>3.5611115536268052</v>
      </c>
      <c r="Q26" s="34">
        <f t="shared" ref="Q26:Q30" si="4">M$25*M19+M$26*N19+M$27*O19+M$28*P19+M$29*Q19+M$30*R19</f>
        <v>3.5611115536268052</v>
      </c>
      <c r="S26" s="34">
        <f t="shared" si="2"/>
        <v>0</v>
      </c>
    </row>
    <row r="27" spans="1:19" x14ac:dyDescent="0.2">
      <c r="B27" s="34">
        <v>-0.3</v>
      </c>
      <c r="D27" s="34">
        <v>-0.21899466583232885</v>
      </c>
      <c r="F27" s="34">
        <f t="shared" si="0"/>
        <v>-0.21899466583232885</v>
      </c>
      <c r="H27" s="34">
        <f t="shared" si="1"/>
        <v>0</v>
      </c>
      <c r="L27" s="1"/>
      <c r="M27" s="34">
        <f t="shared" si="3"/>
        <v>-0.3</v>
      </c>
      <c r="O27" s="34">
        <v>-0.22974679636261283</v>
      </c>
      <c r="Q27" s="34">
        <f t="shared" si="4"/>
        <v>-0.22974679636261283</v>
      </c>
      <c r="S27" s="34">
        <f t="shared" si="2"/>
        <v>0</v>
      </c>
    </row>
    <row r="28" spans="1:19" x14ac:dyDescent="0.2">
      <c r="B28" s="34">
        <v>-0.2</v>
      </c>
      <c r="D28" s="34">
        <v>4.0143640304864787</v>
      </c>
      <c r="F28" s="34">
        <f t="shared" si="0"/>
        <v>4.0143640304864787</v>
      </c>
      <c r="H28" s="34">
        <f t="shared" si="1"/>
        <v>0</v>
      </c>
      <c r="L28" s="1"/>
      <c r="M28" s="34">
        <f t="shared" si="3"/>
        <v>-0.2</v>
      </c>
      <c r="O28" s="34">
        <v>1.5317453975404518</v>
      </c>
      <c r="Q28" s="34">
        <f t="shared" si="4"/>
        <v>1.5317453975404518</v>
      </c>
      <c r="S28" s="34">
        <f t="shared" si="2"/>
        <v>0</v>
      </c>
    </row>
    <row r="29" spans="1:19" x14ac:dyDescent="0.2">
      <c r="B29" s="34">
        <v>0.1</v>
      </c>
      <c r="D29" s="34">
        <v>1.2604719289064259</v>
      </c>
      <c r="F29" s="34">
        <f t="shared" si="0"/>
        <v>1.2604719289064259</v>
      </c>
      <c r="H29" s="34">
        <f t="shared" si="1"/>
        <v>0</v>
      </c>
      <c r="L29" s="1"/>
      <c r="M29" s="34">
        <f t="shared" si="3"/>
        <v>0.1</v>
      </c>
      <c r="O29" s="34">
        <v>1.2604719289064259</v>
      </c>
      <c r="Q29" s="34">
        <f t="shared" si="4"/>
        <v>1.2604719289064259</v>
      </c>
      <c r="S29" s="34">
        <f t="shared" si="2"/>
        <v>0</v>
      </c>
    </row>
    <row r="30" spans="1:19" x14ac:dyDescent="0.2">
      <c r="B30" s="35">
        <v>0.5</v>
      </c>
      <c r="D30" s="35">
        <v>0.5</v>
      </c>
      <c r="F30" s="35">
        <f t="shared" si="0"/>
        <v>0.5</v>
      </c>
      <c r="H30" s="35">
        <f t="shared" si="1"/>
        <v>0</v>
      </c>
      <c r="L30" s="1"/>
      <c r="M30" s="35">
        <f t="shared" si="3"/>
        <v>0.5</v>
      </c>
      <c r="O30" s="35">
        <v>0.5</v>
      </c>
      <c r="Q30" s="35">
        <f t="shared" si="4"/>
        <v>0.5</v>
      </c>
      <c r="S30" s="35">
        <f t="shared" si="2"/>
        <v>0</v>
      </c>
    </row>
  </sheetData>
  <mergeCells count="9">
    <mergeCell ref="L1:Q1"/>
    <mergeCell ref="L2:N2"/>
    <mergeCell ref="L10:N10"/>
    <mergeCell ref="O10:Q10"/>
    <mergeCell ref="A1:F1"/>
    <mergeCell ref="A2:C2"/>
    <mergeCell ref="H2:J2"/>
    <mergeCell ref="A10:C10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BC6-99A1-A148-B8F0-34F546E89C49}">
  <dimension ref="A1:S44"/>
  <sheetViews>
    <sheetView tabSelected="1" workbookViewId="0">
      <selection activeCell="K16" sqref="K16"/>
    </sheetView>
  </sheetViews>
  <sheetFormatPr baseColWidth="10" defaultRowHeight="16" x14ac:dyDescent="0.2"/>
  <sheetData>
    <row r="1" spans="1:17" ht="21" x14ac:dyDescent="0.25">
      <c r="A1" s="41" t="s">
        <v>14</v>
      </c>
      <c r="B1" s="42"/>
      <c r="C1" s="42"/>
      <c r="D1" s="42"/>
      <c r="E1" s="42"/>
      <c r="F1" s="43"/>
      <c r="L1" s="41" t="s">
        <v>40</v>
      </c>
      <c r="M1" s="42"/>
      <c r="N1" s="42"/>
      <c r="O1" s="42"/>
      <c r="P1" s="42"/>
      <c r="Q1" s="43"/>
    </row>
    <row r="2" spans="1:17" x14ac:dyDescent="0.2">
      <c r="A2" s="44" t="s">
        <v>22</v>
      </c>
      <c r="B2" s="45"/>
      <c r="C2" s="46"/>
      <c r="D2" s="16"/>
      <c r="E2" s="15" t="s">
        <v>23</v>
      </c>
      <c r="F2" s="17"/>
      <c r="H2" s="47" t="s">
        <v>24</v>
      </c>
      <c r="I2" s="48"/>
      <c r="J2" s="49"/>
      <c r="L2" s="44" t="s">
        <v>22</v>
      </c>
      <c r="M2" s="45"/>
      <c r="N2" s="46"/>
      <c r="O2" s="16"/>
      <c r="P2" s="15" t="s">
        <v>23</v>
      </c>
      <c r="Q2" s="17"/>
    </row>
    <row r="3" spans="1:17" ht="18" x14ac:dyDescent="0.25">
      <c r="A3" s="18" t="s">
        <v>25</v>
      </c>
      <c r="B3" s="19">
        <v>20</v>
      </c>
      <c r="C3" s="6" t="s">
        <v>1</v>
      </c>
      <c r="D3" s="20" t="s">
        <v>5</v>
      </c>
      <c r="E3">
        <v>0.1</v>
      </c>
      <c r="F3" s="6" t="s">
        <v>6</v>
      </c>
      <c r="H3" s="20" t="s">
        <v>5</v>
      </c>
      <c r="I3">
        <v>0.1</v>
      </c>
      <c r="J3" s="6" t="s">
        <v>6</v>
      </c>
      <c r="L3" s="18" t="s">
        <v>25</v>
      </c>
      <c r="M3" s="19">
        <v>20</v>
      </c>
      <c r="N3" s="6" t="s">
        <v>1</v>
      </c>
      <c r="O3" s="20" t="s">
        <v>5</v>
      </c>
      <c r="P3">
        <v>0.1</v>
      </c>
      <c r="Q3" s="6" t="s">
        <v>6</v>
      </c>
    </row>
    <row r="4" spans="1:17" ht="20" x14ac:dyDescent="0.25">
      <c r="A4" s="5" t="s">
        <v>26</v>
      </c>
      <c r="B4" s="19">
        <f>I10+B3</f>
        <v>11194.8</v>
      </c>
      <c r="C4" s="6" t="s">
        <v>1</v>
      </c>
      <c r="D4" s="20" t="s">
        <v>7</v>
      </c>
      <c r="E4">
        <v>100</v>
      </c>
      <c r="F4" s="6" t="s">
        <v>8</v>
      </c>
      <c r="H4" s="20" t="s">
        <v>27</v>
      </c>
      <c r="I4">
        <f>E7</f>
        <v>268.92293737606747</v>
      </c>
      <c r="J4" s="6" t="s">
        <v>9</v>
      </c>
      <c r="L4" s="5" t="s">
        <v>26</v>
      </c>
      <c r="M4" s="19">
        <f>I10+M3</f>
        <v>11194.8</v>
      </c>
      <c r="N4" s="6" t="s">
        <v>1</v>
      </c>
      <c r="O4" s="20" t="s">
        <v>7</v>
      </c>
      <c r="P4">
        <v>100</v>
      </c>
      <c r="Q4" s="6" t="s">
        <v>8</v>
      </c>
    </row>
    <row r="5" spans="1:17" ht="18" x14ac:dyDescent="0.25">
      <c r="A5" s="18" t="s">
        <v>28</v>
      </c>
      <c r="B5" s="19">
        <f>SQRT(B4^2 -I10^ 2)</f>
        <v>668.87368015194022</v>
      </c>
      <c r="C5" s="6" t="s">
        <v>1</v>
      </c>
      <c r="D5" s="7"/>
      <c r="E5" s="21"/>
      <c r="F5" s="9"/>
      <c r="H5" s="22"/>
      <c r="I5" s="23"/>
      <c r="J5" s="24"/>
      <c r="L5" s="18" t="s">
        <v>28</v>
      </c>
      <c r="M5" s="19">
        <f>SQRT(M4^2 -I10^ 2)</f>
        <v>668.87368015194022</v>
      </c>
      <c r="N5" s="6" t="s">
        <v>1</v>
      </c>
      <c r="O5" s="7"/>
      <c r="P5" s="21"/>
      <c r="Q5" s="9"/>
    </row>
    <row r="6" spans="1:17" ht="18" x14ac:dyDescent="0.25">
      <c r="A6" s="25" t="s">
        <v>29</v>
      </c>
      <c r="B6">
        <f>B5/I10</f>
        <v>5.9855539262621278E-2</v>
      </c>
      <c r="C6" s="6"/>
      <c r="D6" s="26" t="s">
        <v>2</v>
      </c>
      <c r="E6">
        <f>B5*I13/1000</f>
        <v>2.2311224392174007</v>
      </c>
      <c r="F6" s="6"/>
      <c r="H6" s="12"/>
      <c r="J6" s="6"/>
      <c r="L6" s="25" t="s">
        <v>29</v>
      </c>
      <c r="M6">
        <f>M5/I10</f>
        <v>5.9855539262621278E-2</v>
      </c>
      <c r="N6" s="6"/>
      <c r="O6" s="26" t="s">
        <v>2</v>
      </c>
      <c r="P6">
        <f>M12*I13/1000</f>
        <v>9.4623774198593456</v>
      </c>
      <c r="Q6" s="6"/>
    </row>
    <row r="7" spans="1:17" ht="20" x14ac:dyDescent="0.25">
      <c r="A7" s="25" t="s">
        <v>30</v>
      </c>
      <c r="B7">
        <f>B5/B4</f>
        <v>5.9748604722901728E-2</v>
      </c>
      <c r="C7" s="6"/>
      <c r="D7" s="20" t="s">
        <v>38</v>
      </c>
      <c r="E7">
        <f>E4/E6*6</f>
        <v>268.92293737606747</v>
      </c>
      <c r="F7" s="6" t="s">
        <v>9</v>
      </c>
      <c r="H7" s="20" t="s">
        <v>7</v>
      </c>
      <c r="I7" s="1">
        <f>I4*E6</f>
        <v>600</v>
      </c>
      <c r="J7" s="6" t="s">
        <v>8</v>
      </c>
      <c r="L7" s="25" t="s">
        <v>30</v>
      </c>
      <c r="M7">
        <f>M5/M4</f>
        <v>5.9748604722901728E-2</v>
      </c>
      <c r="N7" s="6"/>
      <c r="O7" s="20" t="s">
        <v>27</v>
      </c>
      <c r="P7">
        <f>P4/P6*6</f>
        <v>63.40901164444557</v>
      </c>
      <c r="Q7" s="6" t="s">
        <v>9</v>
      </c>
    </row>
    <row r="8" spans="1:17" x14ac:dyDescent="0.2">
      <c r="A8" s="7" t="s">
        <v>31</v>
      </c>
      <c r="B8" s="8">
        <v>1</v>
      </c>
      <c r="C8" s="9"/>
      <c r="D8" s="27"/>
      <c r="E8" s="8"/>
      <c r="F8" s="9"/>
      <c r="H8" s="22"/>
      <c r="I8" s="28"/>
      <c r="J8" s="9"/>
      <c r="L8" s="7" t="s">
        <v>31</v>
      </c>
      <c r="M8" s="8">
        <v>1</v>
      </c>
      <c r="N8" s="9"/>
      <c r="O8" s="27"/>
      <c r="P8" s="8"/>
      <c r="Q8" s="9"/>
    </row>
    <row r="9" spans="1:17" x14ac:dyDescent="0.2">
      <c r="A9" s="1"/>
      <c r="D9" s="1"/>
      <c r="H9" s="26"/>
      <c r="I9" s="13"/>
    </row>
    <row r="10" spans="1:17" ht="20" x14ac:dyDescent="0.25">
      <c r="A10" s="44" t="s">
        <v>4</v>
      </c>
      <c r="B10" s="45"/>
      <c r="C10" s="46"/>
      <c r="D10" s="44" t="s">
        <v>32</v>
      </c>
      <c r="E10" s="45"/>
      <c r="F10" s="46"/>
      <c r="H10" s="10" t="s">
        <v>44</v>
      </c>
      <c r="I10" s="11">
        <v>11174.8</v>
      </c>
      <c r="J10" s="4" t="s">
        <v>21</v>
      </c>
      <c r="L10" s="44" t="s">
        <v>4</v>
      </c>
      <c r="M10" s="45"/>
      <c r="N10" s="46"/>
      <c r="O10" s="44" t="s">
        <v>32</v>
      </c>
      <c r="P10" s="45"/>
      <c r="Q10" s="46"/>
    </row>
    <row r="11" spans="1:17" x14ac:dyDescent="0.2">
      <c r="A11" s="13" t="s">
        <v>33</v>
      </c>
      <c r="B11">
        <f>B4+B5*B30</f>
        <v>11529.23684007597</v>
      </c>
      <c r="D11" s="29" t="s">
        <v>34</v>
      </c>
      <c r="E11">
        <f>SQRT(1+(2*B30/B7) + B30^2)</f>
        <v>4.2410838838492477</v>
      </c>
      <c r="F11" s="6"/>
      <c r="H11" s="10" t="s">
        <v>15</v>
      </c>
      <c r="I11" s="11">
        <v>299792458</v>
      </c>
      <c r="J11" s="4" t="s">
        <v>18</v>
      </c>
      <c r="L11" s="29" t="s">
        <v>33</v>
      </c>
      <c r="M11">
        <f>M4+M5*B30</f>
        <v>11529.23684007597</v>
      </c>
      <c r="N11" s="6"/>
      <c r="O11" s="29" t="s">
        <v>34</v>
      </c>
      <c r="P11">
        <v>1</v>
      </c>
      <c r="Q11" s="6"/>
    </row>
    <row r="12" spans="1:17" ht="19" x14ac:dyDescent="0.2">
      <c r="A12" s="13" t="s">
        <v>0</v>
      </c>
      <c r="B12" s="19">
        <f>SQRT(B11^2 -I10^ 2)</f>
        <v>2836.7493852233315</v>
      </c>
      <c r="D12" s="29" t="s">
        <v>35</v>
      </c>
      <c r="E12">
        <f>SQRT(E7/E11)</f>
        <v>7.962977561468171</v>
      </c>
      <c r="F12" s="6" t="s">
        <v>10</v>
      </c>
      <c r="H12" s="5" t="s">
        <v>16</v>
      </c>
      <c r="I12">
        <f>1/I11</f>
        <v>3.3356409519815204E-9</v>
      </c>
      <c r="J12" s="6" t="s">
        <v>19</v>
      </c>
      <c r="L12" s="29" t="s">
        <v>0</v>
      </c>
      <c r="M12" s="19">
        <f>SQRT(M11^2 -I10^ 2)</f>
        <v>2836.7493852233315</v>
      </c>
      <c r="N12" s="6"/>
      <c r="O12" s="29" t="s">
        <v>35</v>
      </c>
      <c r="P12">
        <f>SQRT(P7/P11)</f>
        <v>7.9629775614681702</v>
      </c>
      <c r="Q12" s="6" t="s">
        <v>10</v>
      </c>
    </row>
    <row r="13" spans="1:17" x14ac:dyDescent="0.2">
      <c r="A13" s="30"/>
      <c r="C13" s="6"/>
      <c r="D13" s="29" t="s">
        <v>36</v>
      </c>
      <c r="E13">
        <f>E12*E3</f>
        <v>0.79629775614681719</v>
      </c>
      <c r="F13" s="6"/>
      <c r="H13" s="7" t="s">
        <v>17</v>
      </c>
      <c r="I13" s="8">
        <f>I12*1000000000</f>
        <v>3.3356409519815204</v>
      </c>
      <c r="J13" s="9" t="s">
        <v>19</v>
      </c>
      <c r="L13" s="30"/>
      <c r="N13" s="6"/>
      <c r="O13" s="29" t="s">
        <v>36</v>
      </c>
      <c r="P13">
        <f>P12*P3</f>
        <v>0.79629775614681708</v>
      </c>
      <c r="Q13" s="6"/>
    </row>
    <row r="14" spans="1:17" ht="19" x14ac:dyDescent="0.2">
      <c r="A14" s="31"/>
      <c r="B14" s="8"/>
      <c r="C14" s="9"/>
      <c r="D14" s="27" t="s">
        <v>37</v>
      </c>
      <c r="E14" s="8">
        <f>E12*E11</f>
        <v>33.771655803395845</v>
      </c>
      <c r="F14" s="9" t="s">
        <v>10</v>
      </c>
      <c r="L14" s="31"/>
      <c r="M14" s="8"/>
      <c r="N14" s="9"/>
      <c r="O14" s="27" t="s">
        <v>37</v>
      </c>
      <c r="P14" s="8">
        <f>P12*P11</f>
        <v>7.9629775614681702</v>
      </c>
      <c r="Q14" s="9" t="s">
        <v>10</v>
      </c>
    </row>
    <row r="15" spans="1:17" x14ac:dyDescent="0.2">
      <c r="A15" s="14"/>
      <c r="B15" s="14"/>
      <c r="C15" s="14"/>
      <c r="D15" s="14"/>
      <c r="E15" s="14"/>
      <c r="F15" s="14"/>
    </row>
    <row r="16" spans="1:17" x14ac:dyDescent="0.2">
      <c r="A16" s="14"/>
      <c r="B16" s="14"/>
      <c r="C16" s="14"/>
      <c r="D16" s="14"/>
      <c r="E16" s="14"/>
      <c r="F16" s="14"/>
    </row>
    <row r="17" spans="1:19" x14ac:dyDescent="0.2">
      <c r="A17" s="1"/>
      <c r="I17" s="40" t="s">
        <v>43</v>
      </c>
    </row>
    <row r="18" spans="1:19" x14ac:dyDescent="0.2">
      <c r="A18" s="13" t="s">
        <v>3</v>
      </c>
      <c r="B18" s="3">
        <f>COSH(E13)</f>
        <v>1.334156119739895</v>
      </c>
      <c r="C18" s="4">
        <f>SINH(E13)/E14</f>
        <v>2.6150940071654361E-2</v>
      </c>
      <c r="D18" s="11">
        <v>0</v>
      </c>
      <c r="E18" s="11">
        <v>0</v>
      </c>
      <c r="F18" s="11">
        <v>0</v>
      </c>
      <c r="G18" s="4">
        <v>0</v>
      </c>
      <c r="I18" s="34">
        <v>0.2</v>
      </c>
      <c r="L18" s="13" t="s">
        <v>3</v>
      </c>
      <c r="M18" s="3">
        <f>COSH(P13)</f>
        <v>1.3341561197398948</v>
      </c>
      <c r="N18" s="4">
        <f>SINH(P13)/P14</f>
        <v>0.1109083304854008</v>
      </c>
      <c r="O18" s="11">
        <v>0</v>
      </c>
      <c r="P18" s="11">
        <v>0</v>
      </c>
      <c r="Q18" s="11">
        <v>0</v>
      </c>
      <c r="R18" s="4">
        <v>0</v>
      </c>
    </row>
    <row r="19" spans="1:19" x14ac:dyDescent="0.2">
      <c r="A19" s="1"/>
      <c r="B19" s="32">
        <f>SINH(E13)*E14</f>
        <v>29.825794013609634</v>
      </c>
      <c r="C19" s="9">
        <f>COSH(E13)</f>
        <v>1.334156119739895</v>
      </c>
      <c r="D19">
        <v>0</v>
      </c>
      <c r="E19">
        <v>0</v>
      </c>
      <c r="F19">
        <v>0</v>
      </c>
      <c r="G19" s="6">
        <v>0</v>
      </c>
      <c r="I19" s="34">
        <v>0.1</v>
      </c>
      <c r="L19" s="1"/>
      <c r="M19" s="32">
        <f>SINH(P13)*P14</f>
        <v>7.0325876192147962</v>
      </c>
      <c r="N19" s="9">
        <f>COSH(P13)</f>
        <v>1.3341561197398948</v>
      </c>
      <c r="O19">
        <v>0</v>
      </c>
      <c r="P19">
        <v>0</v>
      </c>
      <c r="Q19">
        <v>0</v>
      </c>
      <c r="R19" s="6">
        <v>0</v>
      </c>
    </row>
    <row r="20" spans="1:19" x14ac:dyDescent="0.2">
      <c r="A20" s="1"/>
      <c r="B20" s="12">
        <v>0</v>
      </c>
      <c r="C20">
        <v>0</v>
      </c>
      <c r="D20" s="3">
        <f>COS(E13)</f>
        <v>0.69935775572021763</v>
      </c>
      <c r="E20" s="4">
        <f>SIN(E13)/E14</f>
        <v>2.1164843280607189E-2</v>
      </c>
      <c r="F20">
        <v>0</v>
      </c>
      <c r="G20" s="6">
        <v>0</v>
      </c>
      <c r="I20" s="35">
        <v>0</v>
      </c>
      <c r="L20" s="1"/>
      <c r="M20" s="12">
        <v>0</v>
      </c>
      <c r="N20">
        <v>0</v>
      </c>
      <c r="O20" s="3">
        <f>COS(P13)</f>
        <v>0.69935775572021774</v>
      </c>
      <c r="P20" s="4">
        <f>SIN(P13)/P14</f>
        <v>8.9761875741578193E-2</v>
      </c>
      <c r="Q20">
        <v>0</v>
      </c>
      <c r="R20" s="6">
        <v>0</v>
      </c>
    </row>
    <row r="21" spans="1:19" x14ac:dyDescent="0.2">
      <c r="A21" s="1"/>
      <c r="B21" s="12">
        <v>0</v>
      </c>
      <c r="C21">
        <v>0</v>
      </c>
      <c r="D21" s="32">
        <f>-SIN(E13)*E14</f>
        <v>-24.13902728881078</v>
      </c>
      <c r="E21" s="9">
        <f>COS(E13)</f>
        <v>0.69935775572021763</v>
      </c>
      <c r="F21">
        <v>0</v>
      </c>
      <c r="G21" s="6">
        <v>0</v>
      </c>
      <c r="L21" s="1"/>
      <c r="M21" s="12">
        <v>0</v>
      </c>
      <c r="N21">
        <v>0</v>
      </c>
      <c r="O21" s="32">
        <f>-SIN(P13)*P14</f>
        <v>-5.691711824125008</v>
      </c>
      <c r="P21" s="9">
        <f>COS(P13)</f>
        <v>0.69935775572021774</v>
      </c>
      <c r="Q21">
        <v>0</v>
      </c>
      <c r="R21" s="6">
        <v>0</v>
      </c>
    </row>
    <row r="22" spans="1:19" x14ac:dyDescent="0.2">
      <c r="A22" s="1"/>
      <c r="B22" s="12">
        <v>0</v>
      </c>
      <c r="C22">
        <v>0</v>
      </c>
      <c r="D22">
        <v>0</v>
      </c>
      <c r="E22">
        <v>0</v>
      </c>
      <c r="F22" s="3">
        <v>1</v>
      </c>
      <c r="G22" s="4">
        <f>E3/B6^2</f>
        <v>27.912022351763103</v>
      </c>
      <c r="L22" s="1"/>
      <c r="M22" s="12">
        <v>0</v>
      </c>
      <c r="N22">
        <v>0</v>
      </c>
      <c r="O22">
        <v>0</v>
      </c>
      <c r="P22">
        <v>0</v>
      </c>
      <c r="Q22" s="3">
        <v>1</v>
      </c>
      <c r="R22" s="4">
        <f>P3/M6^2</f>
        <v>27.912022351763103</v>
      </c>
    </row>
    <row r="23" spans="1:19" x14ac:dyDescent="0.2">
      <c r="A23" s="1"/>
      <c r="B23" s="32">
        <v>0</v>
      </c>
      <c r="C23" s="8">
        <v>0</v>
      </c>
      <c r="D23" s="8">
        <v>0</v>
      </c>
      <c r="E23" s="8">
        <v>0</v>
      </c>
      <c r="F23" s="32">
        <v>0</v>
      </c>
      <c r="G23" s="9">
        <v>1</v>
      </c>
      <c r="L23" s="1"/>
      <c r="M23" s="32">
        <v>0</v>
      </c>
      <c r="N23" s="8">
        <v>0</v>
      </c>
      <c r="O23" s="8">
        <v>0</v>
      </c>
      <c r="P23" s="8">
        <v>0</v>
      </c>
      <c r="Q23" s="32">
        <v>0</v>
      </c>
      <c r="R23" s="9">
        <v>1</v>
      </c>
    </row>
    <row r="24" spans="1:19" x14ac:dyDescent="0.2">
      <c r="A24" s="1"/>
      <c r="L24" s="1"/>
    </row>
    <row r="25" spans="1:19" ht="18" x14ac:dyDescent="0.25">
      <c r="A25" s="13" t="s">
        <v>11</v>
      </c>
      <c r="B25" s="36">
        <v>0.5</v>
      </c>
      <c r="C25" s="13" t="s">
        <v>41</v>
      </c>
      <c r="D25" s="33">
        <f>B25-I18</f>
        <v>0.3</v>
      </c>
      <c r="L25" s="13" t="s">
        <v>11</v>
      </c>
      <c r="M25" s="33">
        <f>B25</f>
        <v>0.5</v>
      </c>
      <c r="N25" s="13" t="s">
        <v>41</v>
      </c>
      <c r="O25" s="33">
        <f>D25</f>
        <v>0.3</v>
      </c>
    </row>
    <row r="26" spans="1:19" x14ac:dyDescent="0.2">
      <c r="A26" s="1"/>
      <c r="B26" s="37">
        <v>0.1</v>
      </c>
      <c r="D26" s="34">
        <f>B26</f>
        <v>0.1</v>
      </c>
      <c r="L26" s="1"/>
      <c r="M26" s="34">
        <f t="shared" ref="M26:O30" si="0">B26</f>
        <v>0.1</v>
      </c>
      <c r="O26" s="34">
        <f t="shared" si="0"/>
        <v>0.1</v>
      </c>
    </row>
    <row r="27" spans="1:19" x14ac:dyDescent="0.2">
      <c r="A27" s="1"/>
      <c r="B27" s="37">
        <v>-0.3</v>
      </c>
      <c r="D27" s="34">
        <f>B27-I19</f>
        <v>-0.4</v>
      </c>
      <c r="L27" s="1"/>
      <c r="M27" s="34">
        <f t="shared" si="0"/>
        <v>-0.3</v>
      </c>
      <c r="O27" s="34">
        <f t="shared" si="0"/>
        <v>-0.4</v>
      </c>
    </row>
    <row r="28" spans="1:19" x14ac:dyDescent="0.2">
      <c r="A28" s="1"/>
      <c r="B28" s="37">
        <v>-0.2</v>
      </c>
      <c r="D28" s="34">
        <f>B28</f>
        <v>-0.2</v>
      </c>
      <c r="L28" s="1"/>
      <c r="M28" s="34">
        <f t="shared" si="0"/>
        <v>-0.2</v>
      </c>
      <c r="O28" s="34">
        <f t="shared" si="0"/>
        <v>-0.2</v>
      </c>
    </row>
    <row r="29" spans="1:19" x14ac:dyDescent="0.2">
      <c r="A29" s="1"/>
      <c r="B29" s="37">
        <v>0.1</v>
      </c>
      <c r="D29" s="34">
        <f t="shared" ref="D29:D30" si="1">B29</f>
        <v>0.1</v>
      </c>
      <c r="L29" s="1"/>
      <c r="M29" s="34">
        <f t="shared" si="0"/>
        <v>0.1</v>
      </c>
      <c r="O29" s="34">
        <f t="shared" si="0"/>
        <v>0.1</v>
      </c>
    </row>
    <row r="30" spans="1:19" x14ac:dyDescent="0.2">
      <c r="A30" s="1"/>
      <c r="B30" s="38">
        <v>0.5</v>
      </c>
      <c r="D30" s="35">
        <f t="shared" si="1"/>
        <v>0.5</v>
      </c>
      <c r="L30" s="1"/>
      <c r="M30" s="35">
        <f t="shared" si="0"/>
        <v>0.5</v>
      </c>
      <c r="O30" s="35">
        <f t="shared" si="0"/>
        <v>0.5</v>
      </c>
    </row>
    <row r="32" spans="1:19" ht="18" x14ac:dyDescent="0.25">
      <c r="C32" s="39" t="s">
        <v>42</v>
      </c>
      <c r="D32" s="36">
        <f t="array" ref="D32:D37">MMULT(B18:G23,D25:D30)</f>
        <v>0.40286192992913389</v>
      </c>
      <c r="E32" s="2" t="s">
        <v>13</v>
      </c>
      <c r="F32" s="36">
        <f t="shared" ref="F32:F37" si="2">D$25*B18+D$26*C18+D$27*D18+D$28*E18+D$29*F18+D$30*G18</f>
        <v>0.40286192992913389</v>
      </c>
      <c r="G32" s="13" t="s">
        <v>39</v>
      </c>
      <c r="H32" s="36">
        <f t="shared" ref="H32:H37" si="3">D32-F32</f>
        <v>0</v>
      </c>
      <c r="N32" s="2" t="s">
        <v>12</v>
      </c>
      <c r="O32" s="36">
        <f t="array" ref="O32:O37">MMULT(M18:R23,O25:O30)</f>
        <v>0.4113376689705085</v>
      </c>
      <c r="P32" s="2" t="s">
        <v>13</v>
      </c>
      <c r="Q32" s="36">
        <f t="shared" ref="Q32:Q37" si="4">O$25*M18+O$26*N18+O$27*O18+O$28*P18+O$29*Q18+O$30*R18</f>
        <v>0.4113376689705085</v>
      </c>
      <c r="R32" s="13" t="s">
        <v>39</v>
      </c>
      <c r="S32" s="36">
        <f t="shared" ref="S32:S37" si="5">O32-Q32</f>
        <v>0</v>
      </c>
    </row>
    <row r="33" spans="3:19" x14ac:dyDescent="0.2">
      <c r="D33" s="37">
        <v>9.0811538160568794</v>
      </c>
      <c r="F33" s="37">
        <f t="shared" si="2"/>
        <v>9.0811538160568794</v>
      </c>
      <c r="H33" s="37">
        <f t="shared" si="3"/>
        <v>0</v>
      </c>
      <c r="O33" s="37">
        <v>2.2431918977384284</v>
      </c>
      <c r="Q33" s="37">
        <f t="shared" si="4"/>
        <v>2.2431918977384284</v>
      </c>
      <c r="S33" s="37">
        <f t="shared" si="5"/>
        <v>0</v>
      </c>
    </row>
    <row r="34" spans="3:19" x14ac:dyDescent="0.2">
      <c r="D34" s="37">
        <v>-0.28397607094420851</v>
      </c>
      <c r="F34" s="37">
        <f t="shared" si="2"/>
        <v>-0.28397607094420851</v>
      </c>
      <c r="H34" s="37">
        <f t="shared" si="3"/>
        <v>0</v>
      </c>
      <c r="O34" s="37">
        <v>-0.29769547743640279</v>
      </c>
      <c r="Q34" s="37">
        <f t="shared" si="4"/>
        <v>-0.29769547743640279</v>
      </c>
      <c r="S34" s="37">
        <f t="shared" si="5"/>
        <v>0</v>
      </c>
    </row>
    <row r="35" spans="3:19" x14ac:dyDescent="0.2">
      <c r="D35" s="37">
        <v>9.5157393643802699</v>
      </c>
      <c r="F35" s="37">
        <f t="shared" si="2"/>
        <v>9.5157393643802699</v>
      </c>
      <c r="H35" s="37">
        <f t="shared" si="3"/>
        <v>0</v>
      </c>
      <c r="O35" s="37">
        <v>2.1368131785059599</v>
      </c>
      <c r="Q35" s="37">
        <f t="shared" si="4"/>
        <v>2.1368131785059599</v>
      </c>
      <c r="S35" s="37">
        <f t="shared" si="5"/>
        <v>0</v>
      </c>
    </row>
    <row r="36" spans="3:19" x14ac:dyDescent="0.2">
      <c r="D36" s="37">
        <v>14.056011175881551</v>
      </c>
      <c r="F36" s="37">
        <f t="shared" si="2"/>
        <v>14.056011175881551</v>
      </c>
      <c r="H36" s="37">
        <f t="shared" si="3"/>
        <v>0</v>
      </c>
      <c r="O36" s="37">
        <v>14.056011175881551</v>
      </c>
      <c r="Q36" s="37">
        <f t="shared" si="4"/>
        <v>14.056011175881551</v>
      </c>
      <c r="S36" s="37">
        <f t="shared" si="5"/>
        <v>0</v>
      </c>
    </row>
    <row r="37" spans="3:19" x14ac:dyDescent="0.2">
      <c r="D37" s="38">
        <v>0.5</v>
      </c>
      <c r="F37" s="38">
        <f t="shared" si="2"/>
        <v>0.5</v>
      </c>
      <c r="H37" s="38">
        <f t="shared" si="3"/>
        <v>0</v>
      </c>
      <c r="O37" s="38">
        <v>0.5</v>
      </c>
      <c r="Q37" s="38">
        <f t="shared" si="4"/>
        <v>0.5</v>
      </c>
      <c r="S37" s="38">
        <f t="shared" si="5"/>
        <v>0</v>
      </c>
    </row>
    <row r="39" spans="3:19" x14ac:dyDescent="0.2">
      <c r="C39" s="13" t="s">
        <v>12</v>
      </c>
      <c r="D39" s="33">
        <f>D32+I18</f>
        <v>0.6028619299291339</v>
      </c>
      <c r="N39" s="13" t="s">
        <v>12</v>
      </c>
      <c r="O39" s="33">
        <f>O32+I18</f>
        <v>0.61133766897050856</v>
      </c>
    </row>
    <row r="40" spans="3:19" x14ac:dyDescent="0.2">
      <c r="D40" s="34">
        <f>D33</f>
        <v>9.0811538160568794</v>
      </c>
      <c r="O40" s="34">
        <f>O33</f>
        <v>2.2431918977384284</v>
      </c>
    </row>
    <row r="41" spans="3:19" x14ac:dyDescent="0.2">
      <c r="D41" s="34">
        <f>D34+I19</f>
        <v>-0.18397607094420851</v>
      </c>
      <c r="O41" s="34">
        <f>O34+I19</f>
        <v>-0.19769547743640278</v>
      </c>
    </row>
    <row r="42" spans="3:19" x14ac:dyDescent="0.2">
      <c r="D42" s="34">
        <f>D35</f>
        <v>9.5157393643802699</v>
      </c>
      <c r="O42" s="34">
        <f>O35</f>
        <v>2.1368131785059599</v>
      </c>
    </row>
    <row r="43" spans="3:19" x14ac:dyDescent="0.2">
      <c r="D43" s="34">
        <f>D36</f>
        <v>14.056011175881551</v>
      </c>
      <c r="O43" s="34">
        <f t="shared" ref="O43:O44" si="6">O36</f>
        <v>14.056011175881551</v>
      </c>
    </row>
    <row r="44" spans="3:19" x14ac:dyDescent="0.2">
      <c r="D44" s="35">
        <f>D37</f>
        <v>0.5</v>
      </c>
      <c r="O44" s="35">
        <f t="shared" si="6"/>
        <v>0.5</v>
      </c>
    </row>
  </sheetData>
  <mergeCells count="9">
    <mergeCell ref="A10:C10"/>
    <mergeCell ref="D10:F10"/>
    <mergeCell ref="L10:N10"/>
    <mergeCell ref="O10:Q10"/>
    <mergeCell ref="A1:F1"/>
    <mergeCell ref="L1:Q1"/>
    <mergeCell ref="A2:C2"/>
    <mergeCell ref="H2:J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Shifted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2025-11-23T17:08:39Z</dcterms:modified>
</cp:coreProperties>
</file>