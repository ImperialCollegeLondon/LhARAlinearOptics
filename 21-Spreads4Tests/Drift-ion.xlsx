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4-LhARAlinearOptics/21-Spreads4Tests/"/>
    </mc:Choice>
  </mc:AlternateContent>
  <xr:revisionPtr revIDLastSave="0" documentId="13_ncr:1_{77EFF88B-046A-AA4E-96BD-BF60919484CF}" xr6:coauthVersionLast="47" xr6:coauthVersionMax="47" xr10:uidLastSave="{00000000-0000-0000-0000-000000000000}"/>
  <bookViews>
    <workbookView xWindow="0" yWindow="740" windowWidth="30240" windowHeight="18900" xr2:uid="{008B2FEE-BD6E-8742-A59F-ADD463C4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4" i="1"/>
  <c r="E21" i="1"/>
  <c r="C19" i="1"/>
  <c r="H30" i="1"/>
  <c r="H32" i="1"/>
  <c r="G23" i="1" l="1"/>
  <c r="B11" i="1"/>
  <c r="B12" i="1"/>
  <c r="B7" i="1"/>
  <c r="B23" i="1" l="1"/>
  <c r="G20" i="1"/>
  <c r="I4" i="1"/>
  <c r="I5" i="1" l="1"/>
  <c r="B19" i="1" l="1"/>
  <c r="C20" i="1"/>
  <c r="G19" i="1" l="1"/>
  <c r="H27" i="1"/>
  <c r="C23" i="1"/>
  <c r="H28" i="1"/>
  <c r="H31" i="1"/>
  <c r="H29" i="1"/>
  <c r="E27" i="1" l="1" a="1"/>
  <c r="E28" i="1" s="1"/>
  <c r="J28" i="1" s="1"/>
  <c r="E29" i="1" l="1"/>
  <c r="J29" i="1" s="1"/>
  <c r="E30" i="1"/>
  <c r="J30" i="1" s="1"/>
  <c r="E31" i="1"/>
  <c r="J31" i="1" s="1"/>
  <c r="E32" i="1"/>
  <c r="J32" i="1" s="1"/>
  <c r="E27" i="1"/>
  <c r="J27" i="1" s="1"/>
</calcChain>
</file>

<file path=xl/sharedStrings.xml><?xml version="1.0" encoding="utf-8"?>
<sst xmlns="http://schemas.openxmlformats.org/spreadsheetml/2006/main" count="38" uniqueCount="33">
  <si>
    <t>MeV</t>
  </si>
  <si>
    <t>Transfer matrix</t>
  </si>
  <si>
    <t>Particle</t>
  </si>
  <si>
    <t>Length</t>
  </si>
  <si>
    <t>m</t>
  </si>
  <si>
    <t>R</t>
  </si>
  <si>
    <t>Rprime</t>
  </si>
  <si>
    <t>Check</t>
  </si>
  <si>
    <t>c</t>
  </si>
  <si>
    <t>m/s</t>
  </si>
  <si>
    <t>1/c</t>
  </si>
  <si>
    <t>s/m</t>
  </si>
  <si>
    <t>1/c*10^9</t>
  </si>
  <si>
    <r>
      <t>m</t>
    </r>
    <r>
      <rPr>
        <vertAlign val="subscript"/>
        <sz val="12"/>
        <color theme="1"/>
        <rFont val="Calibri (Body)"/>
      </rPr>
      <t>p</t>
    </r>
  </si>
  <si>
    <r>
      <t>MeV/c</t>
    </r>
    <r>
      <rPr>
        <vertAlign val="superscript"/>
        <sz val="12"/>
        <color theme="1"/>
        <rFont val="Calibri (Body)"/>
      </rPr>
      <t>2</t>
    </r>
  </si>
  <si>
    <t>Reference particle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</si>
  <si>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</si>
  <si>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</si>
  <si>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</si>
  <si>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</si>
  <si>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charge</t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</si>
  <si>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</si>
  <si>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E</t>
  </si>
  <si>
    <t>p</t>
  </si>
  <si>
    <t>Diff</t>
  </si>
  <si>
    <t>Drift test sheet:</t>
  </si>
  <si>
    <t>Drift</t>
  </si>
  <si>
    <t>Constants</t>
  </si>
  <si>
    <t>Ion paramters</t>
  </si>
  <si>
    <t>Species</t>
  </si>
  <si>
    <r>
      <rPr>
        <vertAlign val="superscript"/>
        <sz val="12"/>
        <color theme="1"/>
        <rFont val="Calibri (Body)"/>
      </rPr>
      <t>12</t>
    </r>
    <r>
      <rPr>
        <sz val="12"/>
        <color theme="1"/>
        <rFont val="Calibri"/>
        <family val="2"/>
        <scheme val="minor"/>
      </rPr>
      <t>C</t>
    </r>
  </si>
  <si>
    <t>q</t>
  </si>
  <si>
    <r>
      <t>|</t>
    </r>
    <r>
      <rPr>
        <i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>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</si>
</sst>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1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b/>
      <i/>
      <sz val="12"/>
      <color theme="1"/>
      <name val="Symbol"/>
      <charset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sz val="12"/>
      <color theme="1"/>
      <name val="Calibri"/>
      <family val="2"/>
      <charset val="2"/>
    </font>
    <font>
      <sz val="12"/>
      <color theme="1"/>
      <name val="Symbol"/>
      <charset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3" fillId="0" borderId="0" xfId="0" applyFont="1" applyAlignment="1">
      <alignment horizontal="right"/>
    </xf>
    <xf numFmtId="2" fontId="0" fillId="0" borderId="10" xfId="0" applyNumberFormat="1" applyBorder="1"/>
    <xf numFmtId="0" fontId="5" fillId="0" borderId="0" xfId="0" applyFont="1" applyAlignment="1">
      <alignment horizontal="right"/>
    </xf>
    <xf numFmtId="0" fontId="0" fillId="0" borderId="9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3" fillId="3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6" xfId="0" applyFill="1" applyBorder="1"/>
    <xf numFmtId="0" fontId="6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164" fontId="0" fillId="0" borderId="0" xfId="0" applyNumberFormat="1"/>
    <xf numFmtId="0" fontId="9" fillId="0" borderId="7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165" fontId="0" fillId="0" borderId="0" xfId="0" applyNumberFormat="1"/>
    <xf numFmtId="164" fontId="0" fillId="0" borderId="10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13" xfId="0" applyFill="1" applyBorder="1" applyAlignment="1">
      <alignment horizontal="right"/>
    </xf>
    <xf numFmtId="0" fontId="0" fillId="0" borderId="13" xfId="0" applyBorder="1" applyAlignment="1">
      <alignment horizontal="right"/>
    </xf>
    <xf numFmtId="0" fontId="7" fillId="0" borderId="14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0" fillId="0" borderId="0" xfId="0" applyBorder="1"/>
    <xf numFmtId="2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J32"/>
  <sheetViews>
    <sheetView tabSelected="1" zoomScaleNormal="100" workbookViewId="0">
      <selection activeCell="O18" sqref="O18"/>
    </sheetView>
  </sheetViews>
  <sheetFormatPr baseColWidth="10" defaultRowHeight="16" x14ac:dyDescent="0.2"/>
  <cols>
    <col min="1" max="1" width="17.33203125" style="1" customWidth="1"/>
    <col min="5" max="5" width="12.83203125" bestFit="1" customWidth="1"/>
    <col min="8" max="8" width="12.33203125" bestFit="1" customWidth="1"/>
    <col min="9" max="10" width="12.1640625" bestFit="1" customWidth="1"/>
    <col min="13" max="13" width="3" bestFit="1" customWidth="1"/>
    <col min="16" max="16" width="6" bestFit="1" customWidth="1"/>
  </cols>
  <sheetData>
    <row r="1" spans="1:10" ht="21" x14ac:dyDescent="0.25">
      <c r="A1" s="33" t="s">
        <v>25</v>
      </c>
      <c r="B1" s="34"/>
      <c r="C1" s="34"/>
      <c r="D1" s="34"/>
      <c r="E1" s="34"/>
      <c r="F1" s="35"/>
      <c r="H1" s="33" t="s">
        <v>27</v>
      </c>
      <c r="I1" s="34"/>
      <c r="J1" s="35"/>
    </row>
    <row r="2" spans="1:10" ht="20" x14ac:dyDescent="0.25">
      <c r="A2" s="36" t="s">
        <v>15</v>
      </c>
      <c r="B2" s="37"/>
      <c r="C2" s="38"/>
      <c r="D2" s="21"/>
      <c r="E2" s="20" t="s">
        <v>26</v>
      </c>
      <c r="F2" s="22"/>
      <c r="H2" s="10" t="s">
        <v>13</v>
      </c>
      <c r="I2" s="11">
        <v>938.27208815999995</v>
      </c>
      <c r="J2" s="4" t="s">
        <v>14</v>
      </c>
    </row>
    <row r="3" spans="1:10" ht="18" x14ac:dyDescent="0.25">
      <c r="A3" s="24" t="s">
        <v>16</v>
      </c>
      <c r="B3" s="25">
        <v>20</v>
      </c>
      <c r="C3" s="6" t="s">
        <v>0</v>
      </c>
      <c r="D3" s="27" t="s">
        <v>3</v>
      </c>
      <c r="E3" s="1">
        <v>1.5</v>
      </c>
      <c r="F3" s="6" t="s">
        <v>4</v>
      </c>
      <c r="H3" s="10" t="s">
        <v>8</v>
      </c>
      <c r="I3" s="11">
        <v>299792458</v>
      </c>
      <c r="J3" s="4" t="s">
        <v>9</v>
      </c>
    </row>
    <row r="4" spans="1:10" ht="18" x14ac:dyDescent="0.25">
      <c r="A4" s="5" t="s">
        <v>17</v>
      </c>
      <c r="B4" s="25">
        <f>I9+B3</f>
        <v>11194.8</v>
      </c>
      <c r="C4" s="6" t="s">
        <v>0</v>
      </c>
      <c r="D4" s="27"/>
      <c r="F4" s="6"/>
      <c r="H4" s="5" t="s">
        <v>10</v>
      </c>
      <c r="I4">
        <f>1/I3</f>
        <v>3.3356409519815204E-9</v>
      </c>
      <c r="J4" s="6" t="s">
        <v>11</v>
      </c>
    </row>
    <row r="5" spans="1:10" ht="18" x14ac:dyDescent="0.25">
      <c r="A5" s="24" t="s">
        <v>18</v>
      </c>
      <c r="B5" s="25">
        <f>SQRT(B4^2 -I9^ 2)</f>
        <v>668.87368015194022</v>
      </c>
      <c r="C5" s="6" t="s">
        <v>0</v>
      </c>
      <c r="D5" s="7"/>
      <c r="E5" s="14"/>
      <c r="F5" s="9"/>
      <c r="H5" s="7" t="s">
        <v>12</v>
      </c>
      <c r="I5" s="8">
        <f>I4*1000000000</f>
        <v>3.3356409519815204</v>
      </c>
      <c r="J5" s="9" t="s">
        <v>11</v>
      </c>
    </row>
    <row r="6" spans="1:10" ht="18" x14ac:dyDescent="0.25">
      <c r="A6" s="26" t="s">
        <v>19</v>
      </c>
      <c r="B6">
        <f>B5/I9</f>
        <v>5.9855539262621278E-2</v>
      </c>
      <c r="C6" s="6"/>
      <c r="D6" s="29"/>
      <c r="E6" s="11"/>
      <c r="F6" s="11"/>
    </row>
    <row r="7" spans="1:10" ht="21" x14ac:dyDescent="0.25">
      <c r="A7" s="26" t="s">
        <v>21</v>
      </c>
      <c r="B7">
        <f>B5/B4</f>
        <v>5.9748604722901728E-2</v>
      </c>
      <c r="C7" s="6"/>
      <c r="D7" s="30"/>
      <c r="E7" s="31"/>
      <c r="H7" s="33" t="s">
        <v>28</v>
      </c>
      <c r="I7" s="34"/>
      <c r="J7" s="35"/>
    </row>
    <row r="8" spans="1:10" ht="19" x14ac:dyDescent="0.2">
      <c r="A8" s="7" t="s">
        <v>20</v>
      </c>
      <c r="B8" s="8">
        <v>1</v>
      </c>
      <c r="C8" s="9"/>
      <c r="D8" s="27"/>
      <c r="H8" s="39" t="s">
        <v>29</v>
      </c>
      <c r="I8" s="40" t="s">
        <v>30</v>
      </c>
      <c r="J8" s="17"/>
    </row>
    <row r="9" spans="1:10" ht="19" x14ac:dyDescent="0.2">
      <c r="D9" s="1"/>
      <c r="H9" s="41" t="s">
        <v>4</v>
      </c>
      <c r="I9" s="19">
        <v>11174.8</v>
      </c>
      <c r="J9" s="19" t="s">
        <v>14</v>
      </c>
    </row>
    <row r="10" spans="1:10" x14ac:dyDescent="0.2">
      <c r="A10" s="36" t="s">
        <v>2</v>
      </c>
      <c r="B10" s="37"/>
      <c r="C10" s="38"/>
      <c r="D10" s="1"/>
      <c r="H10" s="42" t="s">
        <v>31</v>
      </c>
      <c r="I10" s="18">
        <v>6</v>
      </c>
      <c r="J10" s="18" t="s">
        <v>32</v>
      </c>
    </row>
    <row r="11" spans="1:10" x14ac:dyDescent="0.2">
      <c r="A11" s="27" t="s">
        <v>22</v>
      </c>
      <c r="B11">
        <f>B4+B5*B32</f>
        <v>11228.243684007597</v>
      </c>
      <c r="C11" s="6"/>
      <c r="D11" s="1"/>
    </row>
    <row r="12" spans="1:10" x14ac:dyDescent="0.2">
      <c r="A12" s="28" t="s">
        <v>23</v>
      </c>
      <c r="B12" s="32">
        <f>SQRT(B11^2 -I2^ 2)</f>
        <v>11188.972326180647</v>
      </c>
      <c r="C12" s="9"/>
      <c r="D12" s="1"/>
      <c r="H12" s="23"/>
      <c r="I12" s="13"/>
    </row>
    <row r="13" spans="1:10" x14ac:dyDescent="0.2">
      <c r="A13" s="15"/>
      <c r="D13" s="1"/>
    </row>
    <row r="14" spans="1:10" x14ac:dyDescent="0.2">
      <c r="A14" s="15"/>
      <c r="D14" s="1"/>
    </row>
    <row r="15" spans="1:10" x14ac:dyDescent="0.2">
      <c r="A15" s="13"/>
      <c r="D15" s="1"/>
    </row>
    <row r="16" spans="1:10" x14ac:dyDescent="0.2">
      <c r="D16" s="1"/>
    </row>
    <row r="17" spans="1:10" x14ac:dyDescent="0.2">
      <c r="D17" s="1"/>
    </row>
    <row r="19" spans="1:10" x14ac:dyDescent="0.2">
      <c r="A19" s="13" t="s">
        <v>1</v>
      </c>
      <c r="B19" s="3">
        <f>COS(E5)</f>
        <v>1</v>
      </c>
      <c r="C19" s="4">
        <f>E3</f>
        <v>1.5</v>
      </c>
      <c r="D19" s="11">
        <v>0</v>
      </c>
      <c r="E19" s="11">
        <v>0</v>
      </c>
      <c r="F19" s="11">
        <v>0</v>
      </c>
      <c r="G19" s="17">
        <f>B14*(1-COS(E5))/B7</f>
        <v>0</v>
      </c>
    </row>
    <row r="20" spans="1:10" x14ac:dyDescent="0.2">
      <c r="B20" s="16">
        <v>0</v>
      </c>
      <c r="C20" s="9">
        <f>COS(E5)</f>
        <v>1</v>
      </c>
      <c r="D20">
        <v>0</v>
      </c>
      <c r="E20">
        <v>0</v>
      </c>
      <c r="F20" s="43">
        <v>0</v>
      </c>
      <c r="G20" s="19">
        <f>SIN(E5)/B7</f>
        <v>0</v>
      </c>
    </row>
    <row r="21" spans="1:10" x14ac:dyDescent="0.2">
      <c r="B21" s="12">
        <v>0</v>
      </c>
      <c r="C21">
        <v>0</v>
      </c>
      <c r="D21" s="3">
        <v>1</v>
      </c>
      <c r="E21" s="4">
        <f>E3</f>
        <v>1.5</v>
      </c>
      <c r="F21" s="43">
        <v>0</v>
      </c>
      <c r="G21" s="19">
        <v>0</v>
      </c>
    </row>
    <row r="22" spans="1:10" x14ac:dyDescent="0.2">
      <c r="B22" s="12">
        <v>0</v>
      </c>
      <c r="C22">
        <v>0</v>
      </c>
      <c r="D22" s="16">
        <v>0</v>
      </c>
      <c r="E22" s="9">
        <v>1</v>
      </c>
      <c r="F22" s="43">
        <v>0</v>
      </c>
      <c r="G22" s="19">
        <v>0</v>
      </c>
    </row>
    <row r="23" spans="1:10" x14ac:dyDescent="0.2">
      <c r="B23" s="12">
        <f>-SIN(E5)/B7</f>
        <v>0</v>
      </c>
      <c r="C23">
        <f>-(B14/B7)*(1-COS(E5))</f>
        <v>0</v>
      </c>
      <c r="D23">
        <v>0</v>
      </c>
      <c r="E23">
        <v>0</v>
      </c>
      <c r="F23" s="17">
        <v>1</v>
      </c>
      <c r="G23" s="44">
        <f>E3/B6^2</f>
        <v>418.6803352764465</v>
      </c>
    </row>
    <row r="24" spans="1:10" x14ac:dyDescent="0.2">
      <c r="B24" s="16">
        <v>0</v>
      </c>
      <c r="C24" s="8">
        <v>0</v>
      </c>
      <c r="D24" s="8">
        <v>0</v>
      </c>
      <c r="E24" s="8">
        <v>0</v>
      </c>
      <c r="F24" s="18">
        <v>0</v>
      </c>
      <c r="G24" s="18">
        <v>1</v>
      </c>
    </row>
    <row r="27" spans="1:10" x14ac:dyDescent="0.2">
      <c r="A27" s="13" t="s">
        <v>5</v>
      </c>
      <c r="B27" s="17">
        <v>0.5</v>
      </c>
      <c r="D27" s="2" t="s">
        <v>6</v>
      </c>
      <c r="E27" s="17">
        <f t="array" ref="E27:E32">MMULT(B19:G24,B27:B32)</f>
        <v>0.65</v>
      </c>
      <c r="G27" s="2" t="s">
        <v>7</v>
      </c>
      <c r="H27" s="17">
        <f>B$27*B19+B$28*C19+B$29*D19+B$30*E19+B$31*F19+B$32*G19</f>
        <v>0.65</v>
      </c>
      <c r="I27" s="13" t="s">
        <v>24</v>
      </c>
      <c r="J27" s="17">
        <f>E27-H27</f>
        <v>0</v>
      </c>
    </row>
    <row r="28" spans="1:10" x14ac:dyDescent="0.2">
      <c r="B28" s="19">
        <v>0.1</v>
      </c>
      <c r="E28" s="19">
        <v>0.1</v>
      </c>
      <c r="H28" s="19">
        <f t="shared" ref="H28:H32" si="0">B$27*B20+B$28*C20+B$29*D20+B$30*E20+B$31*F20+B$32*G20</f>
        <v>0.1</v>
      </c>
      <c r="J28" s="19">
        <f t="shared" ref="J28:J32" si="1">E28-H28</f>
        <v>0</v>
      </c>
    </row>
    <row r="29" spans="1:10" x14ac:dyDescent="0.2">
      <c r="B29" s="19">
        <v>-0.3</v>
      </c>
      <c r="E29" s="19">
        <v>-0.60000000000000009</v>
      </c>
      <c r="H29" s="19">
        <f t="shared" si="0"/>
        <v>-0.60000000000000009</v>
      </c>
      <c r="J29" s="19">
        <f t="shared" si="1"/>
        <v>0</v>
      </c>
    </row>
    <row r="30" spans="1:10" x14ac:dyDescent="0.2">
      <c r="B30" s="19">
        <v>-0.2</v>
      </c>
      <c r="E30" s="19">
        <v>-0.2</v>
      </c>
      <c r="H30" s="19">
        <f t="shared" si="0"/>
        <v>-0.2</v>
      </c>
      <c r="J30" s="19">
        <f t="shared" si="1"/>
        <v>0</v>
      </c>
    </row>
    <row r="31" spans="1:10" x14ac:dyDescent="0.2">
      <c r="B31" s="19">
        <v>0.1</v>
      </c>
      <c r="E31" s="19">
        <v>21.034016763822329</v>
      </c>
      <c r="H31" s="19">
        <f t="shared" si="0"/>
        <v>21.034016763822329</v>
      </c>
      <c r="J31" s="19">
        <f t="shared" si="1"/>
        <v>0</v>
      </c>
    </row>
    <row r="32" spans="1:10" x14ac:dyDescent="0.2">
      <c r="B32" s="18">
        <v>0.05</v>
      </c>
      <c r="E32" s="18">
        <v>0.05</v>
      </c>
      <c r="H32" s="18">
        <f t="shared" si="0"/>
        <v>0.05</v>
      </c>
      <c r="J32" s="18">
        <f t="shared" si="1"/>
        <v>0</v>
      </c>
    </row>
  </sheetData>
  <mergeCells count="5">
    <mergeCell ref="A1:F1"/>
    <mergeCell ref="A2:C2"/>
    <mergeCell ref="A10:C10"/>
    <mergeCell ref="H1:J1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Long, Kenneth (STFC,RAL,PPD)</cp:lastModifiedBy>
  <dcterms:created xsi:type="dcterms:W3CDTF">2023-08-07T07:21:12Z</dcterms:created>
  <dcterms:modified xsi:type="dcterms:W3CDTF">2025-11-16T20:26:27Z</dcterms:modified>
</cp:coreProperties>
</file>