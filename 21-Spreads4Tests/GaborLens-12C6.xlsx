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3273791869/WOPIServiceId_TP_BOX_2/WOPIUserId_-/"/>
    </mc:Choice>
  </mc:AlternateContent>
  <xr:revisionPtr revIDLastSave="0" documentId="13_ncr:1_{3DC24C49-5C57-C440-A5A4-45F297537FB8}" xr6:coauthVersionLast="47" xr6:coauthVersionMax="47" xr10:uidLastSave="{00000000-0000-0000-0000-000000000000}"/>
  <bookViews>
    <workbookView xWindow="140" yWindow="920" windowWidth="14900" windowHeight="18580" xr2:uid="{008B2FEE-BD6E-8742-A59F-ADD463C4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I16" i="1"/>
  <c r="B7" i="1"/>
  <c r="E14" i="1"/>
  <c r="E13" i="1"/>
  <c r="H4" i="1" l="1"/>
  <c r="P11" i="1"/>
  <c r="P12" i="1" s="1"/>
  <c r="E9" i="1" l="1"/>
  <c r="E10" i="1"/>
  <c r="A22" i="1"/>
  <c r="C20" i="1"/>
  <c r="C21" i="1" s="1"/>
  <c r="C22" i="1" s="1"/>
  <c r="C23" i="1" s="1"/>
  <c r="B18" i="1" s="1"/>
  <c r="B14" i="1"/>
  <c r="E11" i="1" l="1"/>
  <c r="B4" i="1"/>
  <c r="B3" i="1"/>
  <c r="H8" i="1"/>
  <c r="P4" i="1" l="1"/>
  <c r="H5" i="1"/>
  <c r="P16" i="1" s="1"/>
  <c r="P17" i="1" l="1"/>
  <c r="P7" i="1"/>
  <c r="P19" i="1"/>
  <c r="E15" i="1"/>
  <c r="H6" i="1"/>
  <c r="H7" i="1"/>
  <c r="I17" i="1" l="1"/>
  <c r="E16" i="1"/>
  <c r="C27" i="1" l="1"/>
  <c r="C26" i="1"/>
  <c r="D27" i="1"/>
  <c r="F29" i="1"/>
  <c r="E28" i="1"/>
  <c r="H32" i="1" l="1"/>
  <c r="F28" i="1"/>
  <c r="H33" i="1" s="1"/>
  <c r="E29" i="1"/>
  <c r="H34" i="1" s="1"/>
  <c r="D26" i="1"/>
  <c r="H31" i="1" s="1"/>
  <c r="E31" i="1" l="1" a="1"/>
  <c r="E32" i="1" s="1"/>
  <c r="K32" i="1" s="1"/>
  <c r="E31" i="1" l="1"/>
  <c r="K31" i="1" s="1"/>
  <c r="E34" i="1"/>
  <c r="K34" i="1" s="1"/>
  <c r="E33" i="1"/>
  <c r="K33" i="1" s="1"/>
</calcChain>
</file>

<file path=xl/sharedStrings.xml><?xml version="1.0" encoding="utf-8"?>
<sst xmlns="http://schemas.openxmlformats.org/spreadsheetml/2006/main" count="95" uniqueCount="68">
  <si>
    <t>MeV</t>
  </si>
  <si>
    <r>
      <t>m</t>
    </r>
    <r>
      <rPr>
        <i/>
        <vertAlign val="subscript"/>
        <sz val="12"/>
        <color theme="1"/>
        <rFont val="Calibri (Body)"/>
      </rPr>
      <t>p</t>
    </r>
  </si>
  <si>
    <t>charge</t>
  </si>
  <si>
    <t>Reference particle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</si>
  <si>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</si>
  <si>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</si>
  <si>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</si>
  <si>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</si>
  <si>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Gabor lens</t>
  </si>
  <si>
    <t>q</t>
  </si>
  <si>
    <t>e</t>
  </si>
  <si>
    <r>
      <rPr>
        <sz val="12"/>
        <color theme="1"/>
        <rFont val="Symbol"/>
        <charset val="2"/>
      </rPr>
      <t>e</t>
    </r>
    <r>
      <rPr>
        <vertAlign val="subscript"/>
        <sz val="12"/>
        <color theme="1"/>
        <rFont val="Calibri (Body)"/>
      </rPr>
      <t>0</t>
    </r>
  </si>
  <si>
    <t>C</t>
  </si>
  <si>
    <t>F/m</t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</si>
  <si>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</si>
  <si>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</si>
  <si>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r>
      <t>n</t>
    </r>
    <r>
      <rPr>
        <i/>
        <vertAlign val="subscript"/>
        <sz val="12"/>
        <color theme="1"/>
        <rFont val="Calibri (Body)"/>
      </rPr>
      <t>e</t>
    </r>
  </si>
  <si>
    <r>
      <t>m</t>
    </r>
    <r>
      <rPr>
        <vertAlign val="superscript"/>
        <sz val="12"/>
        <color theme="1"/>
        <rFont val="Calibri (Body)"/>
      </rPr>
      <t>-3</t>
    </r>
  </si>
  <si>
    <t>k</t>
  </si>
  <si>
    <t>a</t>
  </si>
  <si>
    <t>Z</t>
  </si>
  <si>
    <t>c</t>
  </si>
  <si>
    <t>m/s</t>
  </si>
  <si>
    <t>kg</t>
  </si>
  <si>
    <t>m</t>
  </si>
  <si>
    <t>J-MeV relationship</t>
  </si>
  <si>
    <t>f</t>
  </si>
  <si>
    <t>SI units</t>
  </si>
  <si>
    <t>Natural units</t>
  </si>
  <si>
    <r>
      <t>Length (</t>
    </r>
    <r>
      <rPr>
        <i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)</t>
    </r>
  </si>
  <si>
    <t>w</t>
  </si>
  <si>
    <r>
      <t>sin(</t>
    </r>
    <r>
      <rPr>
        <sz val="12"/>
        <color theme="1"/>
        <rFont val="Symbol"/>
        <charset val="2"/>
      </rPr>
      <t>w</t>
    </r>
    <r>
      <rPr>
        <i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)</t>
    </r>
  </si>
  <si>
    <r>
      <t>cos(</t>
    </r>
    <r>
      <rPr>
        <sz val="12"/>
        <color theme="1"/>
        <rFont val="Symbol"/>
        <charset val="2"/>
      </rPr>
      <t>w</t>
    </r>
    <r>
      <rPr>
        <i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)</t>
    </r>
  </si>
  <si>
    <t>Transfer matrix</t>
  </si>
  <si>
    <t>Rprime</t>
  </si>
  <si>
    <t>Check</t>
  </si>
  <si>
    <t>R</t>
  </si>
  <si>
    <t>Difference</t>
  </si>
  <si>
    <r>
      <t>m-(MeV</t>
    </r>
    <r>
      <rPr>
        <vertAlign val="superscript"/>
        <sz val="12"/>
        <color theme="1"/>
        <rFont val="Calibri"/>
        <family val="2"/>
      </rPr>
      <t>-1</t>
    </r>
    <r>
      <rPr>
        <sz val="12"/>
        <color theme="1"/>
        <rFont val="Calibri"/>
        <family val="2"/>
        <charset val="2"/>
      </rPr>
      <t>) relationship</t>
    </r>
  </si>
  <si>
    <t>h(bar)c</t>
  </si>
  <si>
    <t>MeV fm</t>
  </si>
  <si>
    <t>fm</t>
  </si>
  <si>
    <t>cm</t>
  </si>
  <si>
    <r>
      <t>MeV</t>
    </r>
    <r>
      <rPr>
        <vertAlign val="superscript"/>
        <sz val="12"/>
        <color theme="1"/>
        <rFont val="Calibri (Body)"/>
      </rPr>
      <t>-1</t>
    </r>
  </si>
  <si>
    <r>
      <t>B</t>
    </r>
    <r>
      <rPr>
        <i/>
        <vertAlign val="subscript"/>
        <sz val="12"/>
        <color theme="1"/>
        <rFont val="Calibri (Body)"/>
      </rPr>
      <t>z</t>
    </r>
  </si>
  <si>
    <t>T</t>
  </si>
  <si>
    <t>V</t>
  </si>
  <si>
    <r>
      <t>V</t>
    </r>
    <r>
      <rPr>
        <i/>
        <vertAlign val="subscript"/>
        <sz val="12"/>
        <color theme="1"/>
        <rFont val="Calibri (Body)"/>
      </rPr>
      <t>A</t>
    </r>
  </si>
  <si>
    <r>
      <t>R</t>
    </r>
    <r>
      <rPr>
        <i/>
        <vertAlign val="subscript"/>
        <sz val="12"/>
        <color theme="1"/>
        <rFont val="Calibri (Body)"/>
      </rPr>
      <t>A</t>
    </r>
  </si>
  <si>
    <r>
      <t>R</t>
    </r>
    <r>
      <rPr>
        <i/>
        <vertAlign val="subscript"/>
        <sz val="12"/>
        <color theme="1"/>
        <rFont val="Calibri (Body)"/>
      </rPr>
      <t>p</t>
    </r>
  </si>
  <si>
    <r>
      <t>n</t>
    </r>
    <r>
      <rPr>
        <i/>
        <vertAlign val="subscript"/>
        <sz val="12"/>
        <color theme="1"/>
        <rFont val="Calibri (Body)"/>
      </rPr>
      <t>e</t>
    </r>
    <r>
      <rPr>
        <sz val="12"/>
        <color theme="1"/>
        <rFont val="Calibri"/>
        <family val="2"/>
        <scheme val="minor"/>
      </rPr>
      <t>(trans)</t>
    </r>
  </si>
  <si>
    <r>
      <t>n</t>
    </r>
    <r>
      <rPr>
        <i/>
        <vertAlign val="subscript"/>
        <sz val="12"/>
        <color theme="1"/>
        <rFont val="Calibri (Body)"/>
      </rPr>
      <t>e</t>
    </r>
    <r>
      <rPr>
        <sz val="12"/>
        <color theme="1"/>
        <rFont val="Calibri"/>
        <family val="2"/>
        <scheme val="minor"/>
      </rPr>
      <t>(longi)</t>
    </r>
  </si>
  <si>
    <r>
      <t>m</t>
    </r>
    <r>
      <rPr>
        <i/>
        <vertAlign val="subscript"/>
        <sz val="12"/>
        <color theme="1"/>
        <rFont val="Calibri (Body)"/>
      </rPr>
      <t>e</t>
    </r>
  </si>
  <si>
    <r>
      <t>m</t>
    </r>
    <r>
      <rPr>
        <vertAlign val="superscript"/>
        <sz val="12"/>
        <color theme="1"/>
        <rFont val="Calibri (Body)"/>
      </rPr>
      <t>-1</t>
    </r>
  </si>
  <si>
    <r>
      <t>m</t>
    </r>
    <r>
      <rPr>
        <vertAlign val="superscript"/>
        <sz val="12"/>
        <color theme="1"/>
        <rFont val="Calibri (Body)"/>
      </rPr>
      <t>-2</t>
    </r>
  </si>
  <si>
    <t>B/l element i/p parameters</t>
  </si>
  <si>
    <t>Solenoid equivalent</t>
  </si>
  <si>
    <r>
      <t>Strength (B</t>
    </r>
    <r>
      <rPr>
        <vertAlign val="subscript"/>
        <sz val="12"/>
        <color theme="1"/>
        <rFont val="Calibri (Body)"/>
      </rPr>
      <t>0</t>
    </r>
    <r>
      <rPr>
        <sz val="12"/>
        <color theme="1"/>
        <rFont val="Calibri"/>
        <family val="2"/>
        <scheme val="minor"/>
      </rPr>
      <t>)</t>
    </r>
  </si>
  <si>
    <t>ne</t>
  </si>
  <si>
    <t>m-3</t>
  </si>
  <si>
    <t>ks</t>
  </si>
  <si>
    <t>rad/m</t>
  </si>
  <si>
    <t>1/c</t>
  </si>
  <si>
    <t>s/m</t>
  </si>
  <si>
    <t>1/c*10^9</t>
  </si>
  <si>
    <t>Brho</t>
  </si>
  <si>
    <t>B</t>
  </si>
  <si>
    <r>
      <t>m</t>
    </r>
    <r>
      <rPr>
        <vertAlign val="subscript"/>
        <sz val="12"/>
        <color theme="1"/>
        <rFont val="Calibri (Body)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</si>
</sst>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E+00"/>
    <numFmt numFmtId="166" formatCode="0.000"/>
  </numFmts>
  <fonts count="1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sz val="12"/>
      <color theme="1"/>
      <name val="Symbol"/>
      <charset val="2"/>
    </font>
    <font>
      <sz val="12"/>
      <color theme="1"/>
      <name val="Calibri"/>
      <family val="2"/>
      <charset val="2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7" fillId="0" borderId="7" xfId="0" applyFont="1" applyBorder="1" applyAlignment="1">
      <alignment horizontal="right"/>
    </xf>
    <xf numFmtId="164" fontId="0" fillId="0" borderId="0" xfId="0" applyNumberFormat="1"/>
    <xf numFmtId="0" fontId="6" fillId="0" borderId="7" xfId="0" applyFont="1" applyBorder="1" applyAlignment="1">
      <alignment horizontal="right"/>
    </xf>
    <xf numFmtId="0" fontId="0" fillId="0" borderId="9" xfId="0" applyBorder="1"/>
    <xf numFmtId="11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" fontId="0" fillId="0" borderId="0" xfId="0" applyNumberFormat="1"/>
    <xf numFmtId="0" fontId="7" fillId="0" borderId="0" xfId="0" applyFont="1" applyAlignment="1">
      <alignment horizontal="right"/>
    </xf>
    <xf numFmtId="0" fontId="5" fillId="0" borderId="7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11" fontId="0" fillId="0" borderId="10" xfId="0" applyNumberFormat="1" applyBorder="1"/>
    <xf numFmtId="0" fontId="7" fillId="6" borderId="0" xfId="0" applyFont="1" applyFill="1" applyAlignment="1">
      <alignment horizontal="right"/>
    </xf>
    <xf numFmtId="0" fontId="0" fillId="6" borderId="8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5" fillId="0" borderId="0" xfId="0" applyFont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1" xfId="0" applyBorder="1"/>
    <xf numFmtId="165" fontId="0" fillId="0" borderId="0" xfId="0" applyNumberFormat="1"/>
    <xf numFmtId="0" fontId="6" fillId="0" borderId="0" xfId="0" applyFont="1" applyAlignment="1">
      <alignment horizontal="right"/>
    </xf>
    <xf numFmtId="164" fontId="0" fillId="2" borderId="0" xfId="0" applyNumberFormat="1" applyFill="1"/>
    <xf numFmtId="0" fontId="11" fillId="0" borderId="7" xfId="0" applyFont="1" applyBorder="1" applyAlignment="1">
      <alignment horizontal="right"/>
    </xf>
    <xf numFmtId="166" fontId="0" fillId="0" borderId="0" xfId="0" applyNumberFormat="1"/>
    <xf numFmtId="0" fontId="0" fillId="0" borderId="4" xfId="0" applyBorder="1"/>
    <xf numFmtId="0" fontId="0" fillId="0" borderId="5" xfId="0" applyBorder="1"/>
    <xf numFmtId="11" fontId="0" fillId="0" borderId="7" xfId="0" applyNumberFormat="1" applyBorder="1"/>
    <xf numFmtId="0" fontId="0" fillId="6" borderId="8" xfId="0" applyFill="1" applyBorder="1" applyAlignment="1">
      <alignment horizontal="left"/>
    </xf>
    <xf numFmtId="11" fontId="0" fillId="6" borderId="0" xfId="0" applyNumberFormat="1" applyFill="1"/>
    <xf numFmtId="0" fontId="0" fillId="3" borderId="4" xfId="0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13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319616</xdr:colOff>
      <xdr:row>11</xdr:row>
      <xdr:rowOff>16510</xdr:rowOff>
    </xdr:from>
    <xdr:ext cx="1907638" cy="3926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C65EB7-EB20-0542-8303-8F62EB1CCDE8}"/>
                </a:ext>
              </a:extLst>
            </xdr:cNvPr>
            <xdr:cNvSpPr txBox="1"/>
          </xdr:nvSpPr>
          <xdr:spPr>
            <a:xfrm>
              <a:off x="9218083" y="2624243"/>
              <a:ext cx="1907638" cy="39260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Sup>
                          <m:sSub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SI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units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GB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C65EB7-EB20-0542-8303-8F62EB1CCDE8}"/>
                </a:ext>
              </a:extLst>
            </xdr:cNvPr>
            <xdr:cNvSpPr txBox="1"/>
          </xdr:nvSpPr>
          <xdr:spPr>
            <a:xfrm>
              <a:off x="9218083" y="2624243"/>
              <a:ext cx="1907638" cy="39260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𝑘=(𝑍𝑒^2)/(2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GB" sz="1100" b="0" i="0">
                  <a:latin typeface="Cambria Math" panose="02040503050406030204" pitchFamily="18" charset="0"/>
                </a:rPr>
                <a:t>0 )  1/(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n-GB" sz="1100" b="0" i="0">
                  <a:latin typeface="Cambria Math" panose="02040503050406030204" pitchFamily="18" charset="0"/>
                </a:rPr>
                <a:t>𝑟^2 𝑐^2 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𝛾_</a:t>
              </a:r>
              <a:r>
                <a:rPr lang="en-GB" sz="1100" b="0" i="0">
                  <a:latin typeface="Cambria Math" panose="02040503050406030204" pitchFamily="18" charset="0"/>
                </a:rPr>
                <a:t>𝑟 𝑚_𝑝 ) 𝑛_𝑒  [SI units]</a:t>
              </a:r>
              <a:endParaRPr lang="en-GB" sz="1100" i="0"/>
            </a:p>
          </xdr:txBody>
        </xdr:sp>
      </mc:Fallback>
    </mc:AlternateContent>
    <xdr:clientData/>
  </xdr:oneCellAnchor>
  <xdr:oneCellAnchor>
    <xdr:from>
      <xdr:col>9</xdr:col>
      <xdr:colOff>309457</xdr:colOff>
      <xdr:row>13</xdr:row>
      <xdr:rowOff>20744</xdr:rowOff>
    </xdr:from>
    <xdr:ext cx="2865272" cy="3782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70D984-CBC7-473E-8EEC-B344EBD63F61}"/>
                </a:ext>
              </a:extLst>
            </xdr:cNvPr>
            <xdr:cNvSpPr txBox="1"/>
          </xdr:nvSpPr>
          <xdr:spPr>
            <a:xfrm>
              <a:off x="9207924" y="3060277"/>
              <a:ext cx="2865272" cy="37824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𝛾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sub>
                        </m:sSub>
                        <m:sSub>
                          <m:sSub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e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GB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𝐌𝐞𝐕</m:t>
                            </m:r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GB" sz="1100" b="1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  <m:sub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sub>
                          <m:sup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bSup>
                        <m:d>
                          <m:dPr>
                            <m:begChr m:val="["/>
                            <m:endChr m:val="]"/>
                            <m:ctrlPr>
                              <a:rPr lang="en-GB" sz="11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𝑴𝒆𝑽</m:t>
                                </m:r>
                              </m:e>
                              <m:sup>
                                <m:r>
                                  <a:rPr lang="en-GB" sz="11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d>
                      </m:den>
                    </m:f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J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–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MeV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relationship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70D984-CBC7-473E-8EEC-B344EBD63F61}"/>
                </a:ext>
              </a:extLst>
            </xdr:cNvPr>
            <xdr:cNvSpPr txBox="1"/>
          </xdr:nvSpPr>
          <xdr:spPr>
            <a:xfrm>
              <a:off x="9207924" y="3060277"/>
              <a:ext cx="2865272" cy="37824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𝑘=(𝑍𝑒^2)/(2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GB" sz="1100" b="0" i="0">
                  <a:latin typeface="Cambria Math" panose="02040503050406030204" pitchFamily="18" charset="0"/>
                </a:rPr>
                <a:t>0 )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(𝛾_𝑟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𝒎_𝒑 [𝐌𝐞𝐕]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GB" sz="1100" b="1" i="0">
                  <a:latin typeface="Cambria Math" panose="02040503050406030204" pitchFamily="18" charset="0"/>
                </a:rPr>
                <a:t>𝒑_𝒓^𝟐 [〖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𝑴𝒆𝑽〗^</a:t>
              </a:r>
              <a:r>
                <a:rPr lang="en-GB" sz="1100" b="1" i="0">
                  <a:latin typeface="Cambria Math" panose="02040503050406030204" pitchFamily="18" charset="0"/>
                </a:rPr>
                <a:t>𝟐 ]</a:t>
              </a:r>
              <a:r>
                <a:rPr lang="en-GB" sz="1100" b="0" i="0">
                  <a:latin typeface="Cambria Math" panose="02040503050406030204" pitchFamily="18" charset="0"/>
                </a:rPr>
                <a:t> ) 𝑛_𝑒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GB" sz="1100" b="0" i="0">
                  <a:latin typeface="Cambria Math" panose="02040503050406030204" pitchFamily="18" charset="0"/>
                </a:rPr>
                <a:t>(J–MeV relationship)</a:t>
              </a:r>
              <a:endParaRPr lang="en-GB" sz="1100" i="0"/>
            </a:p>
          </xdr:txBody>
        </xdr:sp>
      </mc:Fallback>
    </mc:AlternateContent>
    <xdr:clientData/>
  </xdr:oneCellAnchor>
  <xdr:oneCellAnchor>
    <xdr:from>
      <xdr:col>9</xdr:col>
      <xdr:colOff>284057</xdr:colOff>
      <xdr:row>15</xdr:row>
      <xdr:rowOff>33444</xdr:rowOff>
    </xdr:from>
    <xdr:ext cx="3207545" cy="3782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6EFE474-AF12-D345-84EE-32449BDA93BD}"/>
                </a:ext>
              </a:extLst>
            </xdr:cNvPr>
            <xdr:cNvSpPr txBox="1"/>
          </xdr:nvSpPr>
          <xdr:spPr>
            <a:xfrm>
              <a:off x="9182524" y="3504777"/>
              <a:ext cx="3207545" cy="378245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sSup>
                          <m:s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𝛾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sub>
                        </m:sSub>
                        <m:sSub>
                          <m:sSub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e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GB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𝐌𝐞𝐕</m:t>
                            </m:r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GB" sz="1100" b="1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  <m:sub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𝒓</m:t>
                            </m:r>
                          </m:sub>
                          <m:sup>
                            <m:r>
                              <a:rPr lang="en-GB" sz="11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bSup>
                        <m:d>
                          <m:dPr>
                            <m:begChr m:val="["/>
                            <m:endChr m:val="]"/>
                            <m:ctrlPr>
                              <a:rPr lang="en-GB" sz="11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𝑴𝒆𝑽</m:t>
                                </m:r>
                              </m:e>
                              <m:sup>
                                <m:r>
                                  <a:rPr lang="en-GB" sz="11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d>
                      </m:den>
                    </m:f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m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MeV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relationship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6EFE474-AF12-D345-84EE-32449BDA93BD}"/>
                </a:ext>
              </a:extLst>
            </xdr:cNvPr>
            <xdr:cNvSpPr txBox="1"/>
          </xdr:nvSpPr>
          <xdr:spPr>
            <a:xfrm>
              <a:off x="9182524" y="3504777"/>
              <a:ext cx="3207545" cy="378245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𝑘=(𝑍𝑒^2)/(2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GB" sz="1100" b="0" i="0">
                  <a:latin typeface="Cambria Math" panose="02040503050406030204" pitchFamily="18" charset="0"/>
                </a:rPr>
                <a:t>0 )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(𝛾_𝑟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𝒎_𝒑 [𝐌𝐞𝐕]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GB" sz="1100" b="1" i="0">
                  <a:latin typeface="Cambria Math" panose="02040503050406030204" pitchFamily="18" charset="0"/>
                </a:rPr>
                <a:t>𝒑_𝒓^𝟐 [〖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𝑴𝒆𝑽〗^</a:t>
              </a:r>
              <a:r>
                <a:rPr lang="en-GB" sz="1100" b="1" i="0">
                  <a:latin typeface="Cambria Math" panose="02040503050406030204" pitchFamily="18" charset="0"/>
                </a:rPr>
                <a:t>𝟐 ]</a:t>
              </a:r>
              <a:r>
                <a:rPr lang="en-GB" sz="1100" b="0" i="0">
                  <a:latin typeface="Cambria Math" panose="02040503050406030204" pitchFamily="18" charset="0"/>
                </a:rPr>
                <a:t> ) 𝑛_𝑒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GB" sz="1100" b="0" i="0">
                  <a:latin typeface="Cambria Math" panose="02040503050406030204" pitchFamily="18" charset="0"/>
                </a:rPr>
                <a:t>(m−〖"MeV" 〗^(−1)) relationship)</a:t>
              </a:r>
              <a:endParaRPr lang="en-GB" sz="1100" i="0"/>
            </a:p>
          </xdr:txBody>
        </xdr:sp>
      </mc:Fallback>
    </mc:AlternateContent>
    <xdr:clientData/>
  </xdr:oneCellAnchor>
  <xdr:oneCellAnchor>
    <xdr:from>
      <xdr:col>10</xdr:col>
      <xdr:colOff>643466</xdr:colOff>
      <xdr:row>3</xdr:row>
      <xdr:rowOff>82551</xdr:rowOff>
    </xdr:from>
    <xdr:ext cx="1758815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F1D1E4-28D9-C2D7-1FB8-2754356A24DB}"/>
                </a:ext>
              </a:extLst>
            </xdr:cNvPr>
            <xdr:cNvSpPr txBox="1"/>
          </xdr:nvSpPr>
          <xdr:spPr>
            <a:xfrm>
              <a:off x="10490199" y="785284"/>
              <a:ext cx="1758815" cy="502958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  <m:sup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longi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𝜖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  <m:sSubSup>
                          <m:sSub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1+2</m:t>
                            </m:r>
                            <m:func>
                              <m:funcPr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GB" sz="11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GB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GB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  <m:t>𝐴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GB" sz="1100" b="0" i="1">
                                                <a:latin typeface="Cambria Math" panose="02040503050406030204" pitchFamily="18" charset="0"/>
                                              </a:rPr>
                                              <m:t>𝑝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</m:func>
                          </m:e>
                        </m:d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F1D1E4-28D9-C2D7-1FB8-2754356A24DB}"/>
                </a:ext>
              </a:extLst>
            </xdr:cNvPr>
            <xdr:cNvSpPr txBox="1"/>
          </xdr:nvSpPr>
          <xdr:spPr>
            <a:xfrm>
              <a:off x="10490199" y="785284"/>
              <a:ext cx="1758815" cy="502958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𝑛_𝑒^longi=(4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1100" b="0" i="0">
                  <a:latin typeface="Cambria Math" panose="02040503050406030204" pitchFamily="18" charset="0"/>
                </a:rPr>
                <a:t>0 𝑉_𝐴)/(𝑒𝑅_𝑝^2 (1+2 ln⁡(𝑅_𝐴/𝑅_𝑝 ) 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503767</xdr:colOff>
      <xdr:row>3</xdr:row>
      <xdr:rowOff>118534</xdr:rowOff>
    </xdr:from>
    <xdr:ext cx="862416" cy="3674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EDDFF1-A672-86ED-C31E-A8ABC8DEDEC1}"/>
                </a:ext>
              </a:extLst>
            </xdr:cNvPr>
            <xdr:cNvSpPr txBox="1"/>
          </xdr:nvSpPr>
          <xdr:spPr>
            <a:xfrm>
              <a:off x="9495367" y="821267"/>
              <a:ext cx="862416" cy="367408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  <m:sup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trans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𝜖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sSubSup>
                          <m:sSub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EDDFF1-A672-86ED-C31E-A8ABC8DEDEC1}"/>
                </a:ext>
              </a:extLst>
            </xdr:cNvPr>
            <xdr:cNvSpPr txBox="1"/>
          </xdr:nvSpPr>
          <xdr:spPr>
            <a:xfrm>
              <a:off x="9495367" y="821267"/>
              <a:ext cx="862416" cy="367408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𝑛_𝑒^trans=(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1100" b="0" i="0">
                  <a:latin typeface="Cambria Math" panose="02040503050406030204" pitchFamily="18" charset="0"/>
                </a:rPr>
                <a:t>0 𝐵_𝑧^2)/(2𝑚_𝑒 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Q41"/>
  <sheetViews>
    <sheetView tabSelected="1" zoomScaleNormal="100" workbookViewId="0">
      <selection activeCell="A12" sqref="A12:B12"/>
    </sheetView>
  </sheetViews>
  <sheetFormatPr baseColWidth="10" defaultColWidth="11.1640625" defaultRowHeight="16" x14ac:dyDescent="0.2"/>
  <cols>
    <col min="1" max="1" width="21.83203125" style="1" bestFit="1" customWidth="1"/>
    <col min="2" max="2" width="12.1640625" bestFit="1" customWidth="1"/>
    <col min="3" max="4" width="12.83203125" bestFit="1" customWidth="1"/>
    <col min="5" max="5" width="11" customWidth="1"/>
    <col min="7" max="7" width="12.1640625" bestFit="1" customWidth="1"/>
    <col min="11" max="11" width="12.1640625" bestFit="1" customWidth="1"/>
  </cols>
  <sheetData>
    <row r="1" spans="1:17" ht="24" x14ac:dyDescent="0.3">
      <c r="A1" s="68" t="s">
        <v>8</v>
      </c>
      <c r="B1" s="69"/>
      <c r="C1" s="69"/>
      <c r="D1" s="69"/>
      <c r="E1" s="69"/>
      <c r="F1" s="69"/>
      <c r="G1" s="69"/>
      <c r="H1" s="69"/>
      <c r="I1" s="70"/>
      <c r="O1" s="61" t="s">
        <v>56</v>
      </c>
      <c r="P1" s="62"/>
      <c r="Q1" s="63"/>
    </row>
    <row r="2" spans="1:17" ht="18" x14ac:dyDescent="0.25">
      <c r="A2" s="73" t="s">
        <v>27</v>
      </c>
      <c r="B2" s="71"/>
      <c r="C2" s="72"/>
      <c r="D2" s="71" t="s">
        <v>8</v>
      </c>
      <c r="E2" s="71"/>
      <c r="F2" s="72"/>
      <c r="G2" s="77" t="s">
        <v>3</v>
      </c>
      <c r="H2" s="78"/>
      <c r="I2" s="79"/>
      <c r="O2" s="54" t="s">
        <v>57</v>
      </c>
      <c r="P2" s="55">
        <v>1.4</v>
      </c>
      <c r="Q2" s="56" t="s">
        <v>45</v>
      </c>
    </row>
    <row r="3" spans="1:17" ht="18" x14ac:dyDescent="0.25">
      <c r="A3" s="8" t="s">
        <v>20</v>
      </c>
      <c r="B3">
        <f>H9</f>
        <v>1</v>
      </c>
      <c r="C3" s="4"/>
      <c r="D3" s="20" t="s">
        <v>44</v>
      </c>
      <c r="E3" s="22">
        <v>0.2</v>
      </c>
      <c r="F3" s="52" t="s">
        <v>45</v>
      </c>
      <c r="G3" s="8" t="s">
        <v>4</v>
      </c>
      <c r="H3" s="9">
        <v>20</v>
      </c>
      <c r="I3" s="4" t="s">
        <v>0</v>
      </c>
      <c r="K3" s="67" t="s">
        <v>55</v>
      </c>
      <c r="L3" s="67"/>
      <c r="O3" s="57"/>
      <c r="Q3" s="4"/>
    </row>
    <row r="4" spans="1:17" ht="18" x14ac:dyDescent="0.25">
      <c r="A4" s="8" t="s">
        <v>9</v>
      </c>
      <c r="B4" s="12">
        <f>H9*B5</f>
        <v>1.6021766339999999E-19</v>
      </c>
      <c r="C4" s="4" t="s">
        <v>12</v>
      </c>
      <c r="D4" s="23" t="s">
        <v>47</v>
      </c>
      <c r="E4" s="53">
        <v>65000</v>
      </c>
      <c r="F4" s="52" t="s">
        <v>46</v>
      </c>
      <c r="G4" s="3" t="s">
        <v>5</v>
      </c>
      <c r="H4" s="9">
        <f>B12+H3</f>
        <v>11194.8</v>
      </c>
      <c r="I4" s="4" t="s">
        <v>0</v>
      </c>
      <c r="O4" s="11" t="s">
        <v>58</v>
      </c>
      <c r="P4" s="19">
        <f>B8/(2*B7*H8)*P2^2</f>
        <v>434688448785625</v>
      </c>
      <c r="Q4" s="6" t="s">
        <v>59</v>
      </c>
    </row>
    <row r="5" spans="1:17" ht="18" x14ac:dyDescent="0.25">
      <c r="A5" s="8" t="s">
        <v>10</v>
      </c>
      <c r="B5" s="12">
        <v>1.6021766339999999E-19</v>
      </c>
      <c r="C5" s="4" t="s">
        <v>12</v>
      </c>
      <c r="D5" s="20" t="s">
        <v>48</v>
      </c>
      <c r="E5" s="22">
        <v>0.06</v>
      </c>
      <c r="F5" s="52" t="s">
        <v>24</v>
      </c>
      <c r="G5" s="8" t="s">
        <v>6</v>
      </c>
      <c r="H5" s="9">
        <f>SQRT(H4^2 -B12^ 2)</f>
        <v>668.87368015194022</v>
      </c>
      <c r="I5" s="4" t="s">
        <v>0</v>
      </c>
    </row>
    <row r="6" spans="1:17" ht="18" x14ac:dyDescent="0.25">
      <c r="A6" s="8" t="s">
        <v>52</v>
      </c>
      <c r="B6" s="12">
        <v>9.1093837015000008E-31</v>
      </c>
      <c r="C6" s="4" t="s">
        <v>23</v>
      </c>
      <c r="D6" s="20" t="s">
        <v>49</v>
      </c>
      <c r="E6" s="22">
        <v>0.05</v>
      </c>
      <c r="F6" s="52" t="s">
        <v>24</v>
      </c>
      <c r="G6" s="10" t="s">
        <v>7</v>
      </c>
      <c r="H6">
        <f>H5/B12</f>
        <v>5.9855539262621278E-2</v>
      </c>
      <c r="I6" s="4"/>
      <c r="O6" t="s">
        <v>60</v>
      </c>
      <c r="P6" s="58">
        <v>2.491695</v>
      </c>
      <c r="Q6" t="s">
        <v>61</v>
      </c>
    </row>
    <row r="7" spans="1:17" ht="18" x14ac:dyDescent="0.25">
      <c r="A7" s="8" t="s">
        <v>1</v>
      </c>
      <c r="B7" s="12">
        <f>12*1.6605*1E-27</f>
        <v>1.9926000000000004E-26</v>
      </c>
      <c r="C7" s="4" t="s">
        <v>23</v>
      </c>
      <c r="D7" s="23" t="s">
        <v>29</v>
      </c>
      <c r="E7" s="22">
        <v>0.5</v>
      </c>
      <c r="F7" s="21" t="s">
        <v>24</v>
      </c>
      <c r="G7" s="10" t="s">
        <v>15</v>
      </c>
      <c r="H7">
        <f>H5/H4</f>
        <v>5.9748604722901728E-2</v>
      </c>
      <c r="I7" s="4"/>
      <c r="O7" t="s">
        <v>66</v>
      </c>
      <c r="P7">
        <f>2*P16*P6</f>
        <v>11.118553252371603</v>
      </c>
    </row>
    <row r="8" spans="1:17" ht="18" x14ac:dyDescent="0.25">
      <c r="A8" s="10" t="s">
        <v>11</v>
      </c>
      <c r="B8" s="12">
        <v>8.8541878128000006E-12</v>
      </c>
      <c r="C8" s="4" t="s">
        <v>13</v>
      </c>
      <c r="D8" s="1"/>
      <c r="F8" s="4"/>
      <c r="G8" s="10" t="s">
        <v>14</v>
      </c>
      <c r="H8">
        <f>H4/B12</f>
        <v>1.001789741203422</v>
      </c>
      <c r="I8" s="4"/>
    </row>
    <row r="9" spans="1:17" ht="20" x14ac:dyDescent="0.25">
      <c r="A9" s="10" t="s">
        <v>21</v>
      </c>
      <c r="B9" s="15">
        <v>299792458</v>
      </c>
      <c r="C9" s="4" t="s">
        <v>22</v>
      </c>
      <c r="D9" s="16" t="s">
        <v>50</v>
      </c>
      <c r="E9" s="12">
        <f>(B8*E3^2)/(2*B6)</f>
        <v>1.9439707674937491E+17</v>
      </c>
      <c r="F9" t="s">
        <v>17</v>
      </c>
      <c r="G9" s="3" t="s">
        <v>2</v>
      </c>
      <c r="H9">
        <v>1</v>
      </c>
      <c r="I9" s="4"/>
    </row>
    <row r="10" spans="1:17" ht="20" x14ac:dyDescent="0.25">
      <c r="A10" s="47" t="s">
        <v>39</v>
      </c>
      <c r="B10" s="48">
        <v>197.3269804</v>
      </c>
      <c r="C10" s="4" t="s">
        <v>40</v>
      </c>
      <c r="D10" s="16" t="s">
        <v>51</v>
      </c>
      <c r="E10">
        <f>(4*B8*E4)/(B5*E6^2*(1+2*LN(E5/E6)))</f>
        <v>4211653050641471.5</v>
      </c>
      <c r="F10" t="s">
        <v>17</v>
      </c>
      <c r="G10" s="11"/>
      <c r="H10" s="5"/>
      <c r="I10" s="6"/>
      <c r="O10" s="7" t="s">
        <v>21</v>
      </c>
      <c r="P10" s="50">
        <v>299792458</v>
      </c>
      <c r="Q10" s="2" t="s">
        <v>22</v>
      </c>
    </row>
    <row r="11" spans="1:17" ht="20" x14ac:dyDescent="0.25">
      <c r="A11" s="74" t="s">
        <v>28</v>
      </c>
      <c r="B11" s="75"/>
      <c r="C11" s="76"/>
      <c r="D11" s="16" t="s">
        <v>16</v>
      </c>
      <c r="E11" s="12">
        <f>MIN(E9:E10)</f>
        <v>4211653050641471.5</v>
      </c>
      <c r="F11" s="4" t="s">
        <v>17</v>
      </c>
      <c r="G11" s="1"/>
      <c r="L11" s="12"/>
      <c r="M11" s="12"/>
      <c r="N11" s="12"/>
      <c r="O11" s="3" t="s">
        <v>62</v>
      </c>
      <c r="P11">
        <f>1/P10</f>
        <v>3.3356409519815204E-9</v>
      </c>
      <c r="Q11" s="4" t="s">
        <v>63</v>
      </c>
    </row>
    <row r="12" spans="1:17" ht="18" x14ac:dyDescent="0.25">
      <c r="A12" s="59" t="s">
        <v>67</v>
      </c>
      <c r="B12" s="60">
        <v>11174.8</v>
      </c>
      <c r="C12" s="4" t="s">
        <v>0</v>
      </c>
      <c r="F12" s="4"/>
      <c r="O12" s="25" t="s">
        <v>64</v>
      </c>
      <c r="P12" s="5">
        <f>P11*1000000000</f>
        <v>3.3356409519815204</v>
      </c>
      <c r="Q12" s="6" t="s">
        <v>63</v>
      </c>
    </row>
    <row r="13" spans="1:17" ht="19" x14ac:dyDescent="0.2">
      <c r="A13" s="17" t="s">
        <v>19</v>
      </c>
      <c r="B13" s="44">
        <v>7.2973525693000004E-3</v>
      </c>
      <c r="C13" s="4"/>
      <c r="D13" s="16" t="s">
        <v>18</v>
      </c>
      <c r="E13" s="13">
        <f>6*(B3*B5^2/2/B8)/(H7^2*B9^2*H8*B7)*E11</f>
        <v>5.7194234565429056</v>
      </c>
      <c r="F13" s="4" t="s">
        <v>54</v>
      </c>
    </row>
    <row r="14" spans="1:17" ht="19" x14ac:dyDescent="0.2">
      <c r="A14" s="8" t="s">
        <v>10</v>
      </c>
      <c r="B14">
        <f>SQRT(4*PI()*B13)</f>
        <v>0.30282212087208876</v>
      </c>
      <c r="C14" s="4"/>
      <c r="E14" s="14">
        <f>6*(B3*B5^2/2/B8)*(B12*H8/H5^2*B17)*E11</f>
        <v>5.7208904451120857</v>
      </c>
      <c r="F14" s="4" t="s">
        <v>54</v>
      </c>
      <c r="J14" s="12"/>
    </row>
    <row r="15" spans="1:17" ht="20" x14ac:dyDescent="0.25">
      <c r="A15" s="10" t="s">
        <v>11</v>
      </c>
      <c r="B15">
        <v>1</v>
      </c>
      <c r="C15" s="4"/>
      <c r="E15" s="46">
        <f>6*B3*B14^2*H8*B12/(2*B15*H5^2)*E11/B18</f>
        <v>5.7208904438323431</v>
      </c>
      <c r="F15" s="4" t="s">
        <v>54</v>
      </c>
      <c r="J15" s="12"/>
    </row>
    <row r="16" spans="1:17" x14ac:dyDescent="0.2">
      <c r="A16" s="47" t="s">
        <v>39</v>
      </c>
      <c r="B16">
        <v>1</v>
      </c>
      <c r="C16" s="4"/>
      <c r="D16" s="16" t="s">
        <v>26</v>
      </c>
      <c r="E16" s="9">
        <f>1/(E13*E7)</f>
        <v>0.34968559596895038</v>
      </c>
      <c r="F16" s="4" t="s">
        <v>24</v>
      </c>
      <c r="H16" s="7" t="s">
        <v>31</v>
      </c>
      <c r="I16" s="2">
        <f>SIN(E17*E7)</f>
        <v>0.93055260134440065</v>
      </c>
      <c r="J16" s="12"/>
      <c r="O16" t="s">
        <v>65</v>
      </c>
      <c r="P16">
        <f>H5*P12/1000</f>
        <v>2.2311224392174007</v>
      </c>
    </row>
    <row r="17" spans="1:16" ht="19" x14ac:dyDescent="0.2">
      <c r="A17" s="10" t="s">
        <v>25</v>
      </c>
      <c r="B17" s="12">
        <v>6241509074000</v>
      </c>
      <c r="C17" s="4"/>
      <c r="D17" s="24" t="s">
        <v>30</v>
      </c>
      <c r="E17">
        <f>SQRT(E14)</f>
        <v>2.3918382982785618</v>
      </c>
      <c r="F17" s="4" t="s">
        <v>53</v>
      </c>
      <c r="H17" s="25" t="s">
        <v>32</v>
      </c>
      <c r="I17" s="6">
        <f>COS(E17*E7)</f>
        <v>0.36615823919607354</v>
      </c>
      <c r="O17" t="s">
        <v>60</v>
      </c>
      <c r="P17">
        <f>P2/(2*P16)</f>
        <v>0.31374342693874541</v>
      </c>
    </row>
    <row r="18" spans="1:16" ht="19" x14ac:dyDescent="0.2">
      <c r="A18" s="18" t="s">
        <v>38</v>
      </c>
      <c r="B18" s="19">
        <f>C23</f>
        <v>5067730717679.3955</v>
      </c>
      <c r="C18" s="6"/>
      <c r="D18" s="5"/>
      <c r="E18" s="5"/>
      <c r="F18" s="6"/>
      <c r="H18" s="16"/>
    </row>
    <row r="19" spans="1:16" x14ac:dyDescent="0.2">
      <c r="A19" s="45"/>
      <c r="B19" s="12"/>
      <c r="O19" t="s">
        <v>66</v>
      </c>
      <c r="P19">
        <f>2*P16*P17</f>
        <v>1.4</v>
      </c>
    </row>
    <row r="20" spans="1:16" ht="19" x14ac:dyDescent="0.2">
      <c r="A20" s="49">
        <v>1</v>
      </c>
      <c r="B20" s="50" t="s">
        <v>41</v>
      </c>
      <c r="C20" s="50">
        <f>1/B10</f>
        <v>5.0677307176793954E-3</v>
      </c>
      <c r="D20" s="2" t="s">
        <v>43</v>
      </c>
    </row>
    <row r="21" spans="1:16" ht="19" x14ac:dyDescent="0.2">
      <c r="A21" s="51">
        <v>1E-13</v>
      </c>
      <c r="B21" t="s">
        <v>42</v>
      </c>
      <c r="C21">
        <f>C20</f>
        <v>5.0677307176793954E-3</v>
      </c>
      <c r="D21" s="4" t="s">
        <v>43</v>
      </c>
    </row>
    <row r="22" spans="1:16" ht="19" x14ac:dyDescent="0.2">
      <c r="A22" s="51">
        <f>A21/100</f>
        <v>1.0000000000000001E-15</v>
      </c>
      <c r="B22" t="s">
        <v>24</v>
      </c>
      <c r="C22">
        <f>C21</f>
        <v>5.0677307176793954E-3</v>
      </c>
      <c r="D22" s="4" t="s">
        <v>43</v>
      </c>
    </row>
    <row r="23" spans="1:16" ht="19" x14ac:dyDescent="0.2">
      <c r="A23" s="18">
        <v>1</v>
      </c>
      <c r="B23" s="19" t="s">
        <v>24</v>
      </c>
      <c r="C23" s="5">
        <f>C22*1000000000000000</f>
        <v>5067730717679.3955</v>
      </c>
      <c r="D23" s="6" t="s">
        <v>43</v>
      </c>
    </row>
    <row r="24" spans="1:16" x14ac:dyDescent="0.2">
      <c r="A24" s="45"/>
      <c r="B24" s="12"/>
    </row>
    <row r="25" spans="1:16" x14ac:dyDescent="0.2">
      <c r="A25"/>
      <c r="C25" s="64" t="s">
        <v>33</v>
      </c>
      <c r="D25" s="65"/>
      <c r="E25" s="65"/>
      <c r="F25" s="66"/>
    </row>
    <row r="26" spans="1:16" x14ac:dyDescent="0.2">
      <c r="A26"/>
      <c r="C26" s="26">
        <f>I17</f>
        <v>0.36615823919607354</v>
      </c>
      <c r="D26" s="27">
        <f>I16/E17</f>
        <v>0.38905330766470791</v>
      </c>
      <c r="E26" s="27">
        <v>0</v>
      </c>
      <c r="F26" s="28">
        <v>0</v>
      </c>
    </row>
    <row r="27" spans="1:16" x14ac:dyDescent="0.2">
      <c r="A27"/>
      <c r="C27" s="29">
        <f>-E17*I16</f>
        <v>-2.2257313504582803</v>
      </c>
      <c r="D27" s="30">
        <f>I17</f>
        <v>0.36615823919607354</v>
      </c>
      <c r="E27" s="30">
        <v>0</v>
      </c>
      <c r="F27" s="31">
        <v>0</v>
      </c>
    </row>
    <row r="28" spans="1:16" x14ac:dyDescent="0.2">
      <c r="A28" s="36"/>
      <c r="B28" s="37"/>
      <c r="C28" s="29">
        <v>0</v>
      </c>
      <c r="D28" s="30">
        <v>0</v>
      </c>
      <c r="E28" s="30">
        <f>I17</f>
        <v>0.36615823919607354</v>
      </c>
      <c r="F28" s="31">
        <f>I16/E17</f>
        <v>0.38905330766470791</v>
      </c>
    </row>
    <row r="29" spans="1:16" x14ac:dyDescent="0.2">
      <c r="A29"/>
      <c r="C29" s="32">
        <v>0</v>
      </c>
      <c r="D29" s="33">
        <v>0</v>
      </c>
      <c r="E29" s="33">
        <f>-E17*I16</f>
        <v>-2.2257313504582803</v>
      </c>
      <c r="F29" s="34">
        <f>I17</f>
        <v>0.36615823919607354</v>
      </c>
    </row>
    <row r="30" spans="1:16" x14ac:dyDescent="0.2">
      <c r="A30"/>
    </row>
    <row r="31" spans="1:16" x14ac:dyDescent="0.2">
      <c r="A31" s="35" t="s">
        <v>36</v>
      </c>
      <c r="B31" s="38">
        <v>0.5</v>
      </c>
      <c r="D31" s="35" t="s">
        <v>34</v>
      </c>
      <c r="E31" s="38">
        <f t="array" ref="E31:E34">MMULT(C26:F29,B31:B34)</f>
        <v>0.22198445036450756</v>
      </c>
      <c r="G31" s="35" t="s">
        <v>35</v>
      </c>
      <c r="H31" s="41">
        <f>B$31*C26+B$32*D26+B$33*E26+B$34*F26</f>
        <v>0.22198445036450756</v>
      </c>
      <c r="J31" s="35" t="s">
        <v>37</v>
      </c>
      <c r="K31" s="41">
        <f>E31-H31</f>
        <v>0</v>
      </c>
    </row>
    <row r="32" spans="1:16" x14ac:dyDescent="0.2">
      <c r="B32" s="39">
        <v>0.1</v>
      </c>
      <c r="E32" s="39">
        <v>-1.0762498513095329</v>
      </c>
      <c r="H32" s="42">
        <f>B$31*C27+B$32*D27+B$33*E27+B$34*F27</f>
        <v>-1.0762498513095329</v>
      </c>
      <c r="K32" s="42">
        <f>E32-H32</f>
        <v>0</v>
      </c>
    </row>
    <row r="33" spans="1:11" x14ac:dyDescent="0.2">
      <c r="A33" s="35"/>
      <c r="B33" s="39">
        <v>-0.3</v>
      </c>
      <c r="E33" s="39">
        <v>-0.18765813329176365</v>
      </c>
      <c r="H33" s="42">
        <f>B$31*C28+B$32*D28+B$33*E28+B$34*F28</f>
        <v>-0.18765813329176365</v>
      </c>
      <c r="K33" s="42">
        <f>E33-H33</f>
        <v>0</v>
      </c>
    </row>
    <row r="34" spans="1:11" x14ac:dyDescent="0.2">
      <c r="B34" s="40">
        <v>-0.2</v>
      </c>
      <c r="E34" s="40">
        <v>0.59448775729826941</v>
      </c>
      <c r="H34" s="43">
        <f>B$31*C29+B$32*D29+B$33*E29+B$34*F29</f>
        <v>0.59448775729826941</v>
      </c>
      <c r="K34" s="43">
        <f>E34-H34</f>
        <v>0</v>
      </c>
    </row>
    <row r="38" spans="1:11" x14ac:dyDescent="0.2">
      <c r="A38"/>
    </row>
    <row r="39" spans="1:11" x14ac:dyDescent="0.2">
      <c r="A39"/>
    </row>
    <row r="40" spans="1:11" x14ac:dyDescent="0.2">
      <c r="A40"/>
    </row>
    <row r="41" spans="1:11" x14ac:dyDescent="0.2">
      <c r="A41"/>
    </row>
  </sheetData>
  <mergeCells count="8">
    <mergeCell ref="O1:Q1"/>
    <mergeCell ref="C25:F25"/>
    <mergeCell ref="K3:L3"/>
    <mergeCell ref="A1:I1"/>
    <mergeCell ref="D2:F2"/>
    <mergeCell ref="A2:C2"/>
    <mergeCell ref="A11:C11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2025-11-21T15:32:35Z</dcterms:modified>
</cp:coreProperties>
</file>