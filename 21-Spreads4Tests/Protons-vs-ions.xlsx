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nethlong/Library/CloudStorage/Box-Box/CubMac-Box/KL-GIT/CCAP/02-LhARA/04-LhARAlinearOptics/21-Spreads4Tests/"/>
    </mc:Choice>
  </mc:AlternateContent>
  <xr:revisionPtr revIDLastSave="0" documentId="8_{B328D2D8-F937-CB47-A708-BE6FDCC11C97}" xr6:coauthVersionLast="47" xr6:coauthVersionMax="47" xr10:uidLastSave="{00000000-0000-0000-0000-000000000000}"/>
  <bookViews>
    <workbookView xWindow="14780" yWindow="7280" windowWidth="28040" windowHeight="17180" xr2:uid="{18A57362-5B43-8642-9592-298722DFE9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I22" i="1"/>
  <c r="B14" i="1"/>
  <c r="I16" i="1"/>
  <c r="I15" i="1"/>
  <c r="I14" i="1"/>
  <c r="I2" i="1"/>
  <c r="I5" i="1"/>
  <c r="I6" i="1" s="1"/>
  <c r="B4" i="1"/>
  <c r="B5" i="1" s="1"/>
  <c r="B7" i="1" l="1"/>
  <c r="B6" i="1"/>
</calcChain>
</file>

<file path=xl/sharedStrings.xml><?xml version="1.0" encoding="utf-8"?>
<sst xmlns="http://schemas.openxmlformats.org/spreadsheetml/2006/main" count="38" uniqueCount="27">
  <si>
    <t>Constants</t>
  </si>
  <si>
    <t>Reference particle</t>
  </si>
  <si>
    <t>Drift</t>
  </si>
  <si>
    <r>
      <t>m</t>
    </r>
    <r>
      <rPr>
        <vertAlign val="subscript"/>
        <sz val="12"/>
        <color theme="1"/>
        <rFont val="Calibri (Body)"/>
      </rPr>
      <t>p</t>
    </r>
  </si>
  <si>
    <r>
      <t>MeV/c</t>
    </r>
    <r>
      <rPr>
        <vertAlign val="superscript"/>
        <sz val="12"/>
        <color theme="1"/>
        <rFont val="Calibri (Body)"/>
      </rPr>
      <t>2</t>
    </r>
  </si>
  <si>
    <r>
      <t>K</t>
    </r>
    <r>
      <rPr>
        <i/>
        <vertAlign val="subscript"/>
        <sz val="12"/>
        <color theme="1"/>
        <rFont val="Calibri (Body)"/>
      </rPr>
      <t>r</t>
    </r>
  </si>
  <si>
    <t>MeV</t>
  </si>
  <si>
    <t>Length</t>
  </si>
  <si>
    <t>m</t>
  </si>
  <si>
    <t>c</t>
  </si>
  <si>
    <t>m/s</t>
  </si>
  <si>
    <r>
      <t>E</t>
    </r>
    <r>
      <rPr>
        <vertAlign val="subscript"/>
        <sz val="12"/>
        <color theme="1"/>
        <rFont val="Calibri (Body)"/>
      </rPr>
      <t>r</t>
    </r>
  </si>
  <si>
    <t>1/c</t>
  </si>
  <si>
    <t>s/m</t>
  </si>
  <si>
    <r>
      <t>p</t>
    </r>
    <r>
      <rPr>
        <i/>
        <vertAlign val="subscript"/>
        <sz val="12"/>
        <color theme="1"/>
        <rFont val="Calibri (Body)"/>
      </rPr>
      <t>r</t>
    </r>
  </si>
  <si>
    <t>1/c*10^9</t>
  </si>
  <si>
    <r>
      <rPr>
        <sz val="12"/>
        <color theme="1"/>
        <rFont val="Symbol"/>
        <charset val="2"/>
      </rPr>
      <t>g</t>
    </r>
    <r>
      <rPr>
        <vertAlign val="subscript"/>
        <sz val="12"/>
        <color theme="1"/>
        <rFont val="Calibri (Body)"/>
      </rPr>
      <t>r</t>
    </r>
    <r>
      <rPr>
        <sz val="12"/>
        <color theme="1"/>
        <rFont val="Symbol"/>
        <charset val="2"/>
      </rPr>
      <t>b</t>
    </r>
    <r>
      <rPr>
        <vertAlign val="subscript"/>
        <sz val="12"/>
        <color theme="1"/>
        <rFont val="Calibri (Body)"/>
      </rPr>
      <t>r</t>
    </r>
  </si>
  <si>
    <r>
      <rPr>
        <sz val="12"/>
        <color theme="1"/>
        <rFont val="Symbol"/>
        <charset val="2"/>
      </rPr>
      <t>b</t>
    </r>
    <r>
      <rPr>
        <vertAlign val="subscript"/>
        <sz val="12"/>
        <color theme="1"/>
        <rFont val="Calibri (Body)"/>
      </rPr>
      <t>r</t>
    </r>
  </si>
  <si>
    <t>Ion paramters</t>
  </si>
  <si>
    <t>charge</t>
  </si>
  <si>
    <t>Species</t>
  </si>
  <si>
    <r>
      <rPr>
        <vertAlign val="superscript"/>
        <sz val="12"/>
        <color theme="1"/>
        <rFont val="Calibri (Body)"/>
      </rPr>
      <t>12</t>
    </r>
    <r>
      <rPr>
        <sz val="12"/>
        <color theme="1"/>
        <rFont val="Aptos Narrow"/>
        <family val="2"/>
        <scheme val="minor"/>
      </rPr>
      <t>C</t>
    </r>
  </si>
  <si>
    <t>q</t>
  </si>
  <si>
    <r>
      <t>|</t>
    </r>
    <r>
      <rPr>
        <i/>
        <sz val="12"/>
        <color theme="1"/>
        <rFont val="Aptos Narrow"/>
        <family val="2"/>
        <scheme val="minor"/>
      </rPr>
      <t>e</t>
    </r>
    <r>
      <rPr>
        <sz val="12"/>
        <color theme="1"/>
        <rFont val="Aptos Narrow"/>
        <family val="2"/>
        <scheme val="minor"/>
      </rPr>
      <t>|</t>
    </r>
  </si>
  <si>
    <t>Proton</t>
  </si>
  <si>
    <t>Rigidity:</t>
  </si>
  <si>
    <t>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</si>
</sst>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"/>
  </numFmts>
  <fonts count="13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vertAlign val="subscript"/>
      <sz val="12"/>
      <color theme="1"/>
      <name val="Calibri (Body)"/>
    </font>
    <font>
      <vertAlign val="superscript"/>
      <sz val="12"/>
      <color theme="1"/>
      <name val="Calibri (Body)"/>
    </font>
    <font>
      <i/>
      <sz val="12"/>
      <color theme="1"/>
      <name val="Aptos Narrow"/>
      <family val="2"/>
      <scheme val="minor"/>
    </font>
    <font>
      <i/>
      <vertAlign val="subscript"/>
      <sz val="12"/>
      <color theme="1"/>
      <name val="Calibri (Body)"/>
    </font>
    <font>
      <sz val="12"/>
      <color theme="1"/>
      <name val="Calibri"/>
      <family val="2"/>
      <charset val="2"/>
    </font>
    <font>
      <sz val="12"/>
      <color theme="1"/>
      <name val="Symbol"/>
      <charset val="2"/>
    </font>
    <font>
      <b/>
      <i/>
      <sz val="12"/>
      <color theme="1"/>
      <name val="Symbol"/>
      <charset val="2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3" borderId="4" xfId="0" applyFill="1" applyBorder="1"/>
    <xf numFmtId="0" fontId="2" fillId="3" borderId="5" xfId="0" applyFont="1" applyFill="1" applyBorder="1" applyAlignment="1">
      <alignment horizontal="center"/>
    </xf>
    <xf numFmtId="0" fontId="0" fillId="3" borderId="6" xfId="0" applyFill="1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5" fillId="0" borderId="7" xfId="0" applyFont="1" applyBorder="1" applyAlignment="1">
      <alignment horizontal="right"/>
    </xf>
    <xf numFmtId="164" fontId="0" fillId="0" borderId="0" xfId="0" applyNumberFormat="1"/>
    <xf numFmtId="0" fontId="0" fillId="0" borderId="8" xfId="0" applyBorder="1"/>
    <xf numFmtId="0" fontId="2" fillId="0" borderId="7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2" fontId="0" fillId="0" borderId="10" xfId="0" applyNumberFormat="1" applyBorder="1"/>
    <xf numFmtId="0" fontId="0" fillId="0" borderId="11" xfId="0" applyBorder="1"/>
    <xf numFmtId="0" fontId="0" fillId="0" borderId="10" xfId="0" applyBorder="1"/>
    <xf numFmtId="0" fontId="7" fillId="0" borderId="7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165" fontId="0" fillId="0" borderId="0" xfId="0" applyNumberFormat="1"/>
    <xf numFmtId="0" fontId="0" fillId="0" borderId="12" xfId="0" applyBorder="1" applyAlignment="1">
      <alignment horizontal="right"/>
    </xf>
    <xf numFmtId="0" fontId="0" fillId="0" borderId="12" xfId="0" applyBorder="1"/>
    <xf numFmtId="0" fontId="5" fillId="0" borderId="13" xfId="0" applyFont="1" applyBorder="1" applyAlignment="1">
      <alignment horizontal="right"/>
    </xf>
    <xf numFmtId="0" fontId="0" fillId="0" borderId="13" xfId="0" applyBorder="1"/>
    <xf numFmtId="0" fontId="5" fillId="0" borderId="14" xfId="0" applyFont="1" applyBorder="1" applyAlignment="1">
      <alignment horizontal="right"/>
    </xf>
    <xf numFmtId="0" fontId="0" fillId="0" borderId="14" xfId="0" applyBorder="1"/>
    <xf numFmtId="0" fontId="11" fillId="0" borderId="4" xfId="0" applyFont="1" applyFill="1" applyBorder="1" applyAlignment="1">
      <alignment horizontal="right"/>
    </xf>
    <xf numFmtId="0" fontId="0" fillId="0" borderId="0" xfId="0" applyBorder="1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0" fillId="0" borderId="5" xfId="0" applyFont="1" applyFill="1" applyBorder="1" applyAlignment="1">
      <alignment horizontal="right"/>
    </xf>
    <xf numFmtId="0" fontId="10" fillId="0" borderId="6" xfId="0" applyFont="1" applyFill="1" applyBorder="1" applyAlignment="1">
      <alignment horizontal="right"/>
    </xf>
    <xf numFmtId="0" fontId="12" fillId="0" borderId="0" xfId="0" applyFont="1"/>
    <xf numFmtId="164" fontId="1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6DDC-0984-B24C-BD7C-E12F9F8217CA}">
  <dimension ref="A1:J22"/>
  <sheetViews>
    <sheetView tabSelected="1" workbookViewId="0">
      <selection activeCell="I16" sqref="I16"/>
    </sheetView>
  </sheetViews>
  <sheetFormatPr baseColWidth="10" defaultRowHeight="16" x14ac:dyDescent="0.2"/>
  <sheetData>
    <row r="1" spans="1:10" ht="22" x14ac:dyDescent="0.3">
      <c r="A1" s="1" t="s">
        <v>24</v>
      </c>
      <c r="B1" s="2"/>
      <c r="C1" s="2"/>
      <c r="D1" s="2"/>
      <c r="E1" s="2"/>
      <c r="F1" s="3"/>
      <c r="H1" s="35" t="s">
        <v>0</v>
      </c>
      <c r="I1" s="36"/>
      <c r="J1" s="37"/>
    </row>
    <row r="2" spans="1:10" x14ac:dyDescent="0.2">
      <c r="A2" s="4" t="s">
        <v>1</v>
      </c>
      <c r="B2" s="5"/>
      <c r="C2" s="6"/>
      <c r="D2" s="7"/>
      <c r="E2" s="8" t="s">
        <v>2</v>
      </c>
      <c r="F2" s="9"/>
      <c r="H2" s="33" t="s">
        <v>22</v>
      </c>
      <c r="I2" s="38">
        <f>SQRT(4*PI()/137)</f>
        <v>0.30286190409413793</v>
      </c>
      <c r="J2" s="39"/>
    </row>
    <row r="3" spans="1:10" ht="20" x14ac:dyDescent="0.25">
      <c r="A3" s="13" t="s">
        <v>5</v>
      </c>
      <c r="B3" s="14">
        <v>20</v>
      </c>
      <c r="C3" s="15" t="s">
        <v>6</v>
      </c>
      <c r="D3" s="16" t="s">
        <v>7</v>
      </c>
      <c r="E3" s="17">
        <v>1.5</v>
      </c>
      <c r="F3" s="15" t="s">
        <v>8</v>
      </c>
      <c r="H3" s="18" t="s">
        <v>3</v>
      </c>
      <c r="I3" s="34">
        <v>938.27208815999995</v>
      </c>
      <c r="J3" s="15" t="s">
        <v>4</v>
      </c>
    </row>
    <row r="4" spans="1:10" ht="18" x14ac:dyDescent="0.25">
      <c r="A4" s="18" t="s">
        <v>11</v>
      </c>
      <c r="B4" s="14">
        <f>I3+B3</f>
        <v>958.27208815999995</v>
      </c>
      <c r="C4" s="15" t="s">
        <v>6</v>
      </c>
      <c r="D4" s="16"/>
      <c r="F4" s="15"/>
      <c r="H4" s="10" t="s">
        <v>9</v>
      </c>
      <c r="I4" s="11">
        <v>299792458</v>
      </c>
      <c r="J4" s="12" t="s">
        <v>10</v>
      </c>
    </row>
    <row r="5" spans="1:10" ht="18" x14ac:dyDescent="0.25">
      <c r="A5" s="13" t="s">
        <v>14</v>
      </c>
      <c r="B5" s="14">
        <f>SQRT(B4^2 -I3^ 2)</f>
        <v>194.75852619692921</v>
      </c>
      <c r="C5" s="15" t="s">
        <v>6</v>
      </c>
      <c r="D5" s="19"/>
      <c r="E5" s="20"/>
      <c r="F5" s="21"/>
      <c r="H5" s="18" t="s">
        <v>12</v>
      </c>
      <c r="I5">
        <f>1/I4</f>
        <v>3.3356409519815204E-9</v>
      </c>
      <c r="J5" s="15" t="s">
        <v>13</v>
      </c>
    </row>
    <row r="6" spans="1:10" ht="18" x14ac:dyDescent="0.25">
      <c r="A6" s="23" t="s">
        <v>16</v>
      </c>
      <c r="B6">
        <f>B5/I3</f>
        <v>0.20757148022900346</v>
      </c>
      <c r="C6" s="15"/>
      <c r="D6" s="24"/>
      <c r="E6" s="11"/>
      <c r="F6" s="11"/>
      <c r="H6" s="19" t="s">
        <v>15</v>
      </c>
      <c r="I6" s="22">
        <f>I5*1000000000</f>
        <v>3.3356409519815204</v>
      </c>
      <c r="J6" s="21" t="s">
        <v>13</v>
      </c>
    </row>
    <row r="7" spans="1:10" ht="18" x14ac:dyDescent="0.25">
      <c r="A7" s="23" t="s">
        <v>17</v>
      </c>
      <c r="B7">
        <f>B5/B4</f>
        <v>0.20323927682260837</v>
      </c>
      <c r="C7" s="15"/>
      <c r="D7" s="25"/>
      <c r="E7" s="26"/>
    </row>
    <row r="8" spans="1:10" x14ac:dyDescent="0.2">
      <c r="A8" s="19" t="s">
        <v>19</v>
      </c>
      <c r="B8" s="22">
        <v>1</v>
      </c>
      <c r="C8" s="21"/>
      <c r="D8" s="16"/>
    </row>
    <row r="9" spans="1:10" ht="22" x14ac:dyDescent="0.3">
      <c r="A9" s="17"/>
      <c r="D9" s="17"/>
      <c r="H9" s="1" t="s">
        <v>18</v>
      </c>
      <c r="I9" s="2"/>
      <c r="J9" s="3"/>
    </row>
    <row r="10" spans="1:10" ht="19" x14ac:dyDescent="0.2">
      <c r="H10" s="27" t="s">
        <v>20</v>
      </c>
      <c r="I10" s="27" t="s">
        <v>21</v>
      </c>
      <c r="J10" s="28"/>
    </row>
    <row r="11" spans="1:10" ht="19" x14ac:dyDescent="0.2">
      <c r="H11" s="29" t="s">
        <v>8</v>
      </c>
      <c r="I11" s="30">
        <v>11174.8</v>
      </c>
      <c r="J11" s="30" t="s">
        <v>4</v>
      </c>
    </row>
    <row r="12" spans="1:10" x14ac:dyDescent="0.2">
      <c r="H12" s="31" t="s">
        <v>22</v>
      </c>
      <c r="I12" s="32">
        <v>6</v>
      </c>
      <c r="J12" s="32" t="s">
        <v>23</v>
      </c>
    </row>
    <row r="14" spans="1:10" x14ac:dyDescent="0.2">
      <c r="A14" s="40" t="s">
        <v>25</v>
      </c>
      <c r="B14" s="41">
        <f>B5/I2</f>
        <v>643.0604957710126</v>
      </c>
      <c r="H14" t="s">
        <v>26</v>
      </c>
      <c r="I14">
        <f>SQRT(I11^2+I12^2*B5^2)-I11</f>
        <v>60.931700559176534</v>
      </c>
    </row>
    <row r="15" spans="1:10" ht="18" x14ac:dyDescent="0.25">
      <c r="H15" s="18" t="s">
        <v>11</v>
      </c>
      <c r="I15" s="14">
        <f>I11+I14</f>
        <v>11235.731700559176</v>
      </c>
      <c r="J15" s="15" t="s">
        <v>6</v>
      </c>
    </row>
    <row r="16" spans="1:10" ht="18" x14ac:dyDescent="0.25">
      <c r="H16" s="13" t="s">
        <v>14</v>
      </c>
      <c r="I16" s="14">
        <f>SQRT(I15^2 -I11^ 2)</f>
        <v>1168.551157181578</v>
      </c>
      <c r="J16" s="15" t="s">
        <v>6</v>
      </c>
    </row>
    <row r="22" spans="4:9" x14ac:dyDescent="0.2">
      <c r="D22" s="14">
        <f>B14-I22</f>
        <v>-1.4779288903810084E-12</v>
      </c>
      <c r="H22" s="40" t="s">
        <v>25</v>
      </c>
      <c r="I22" s="41">
        <f>I16/(I12*I2)</f>
        <v>643.06049577101408</v>
      </c>
    </row>
  </sheetData>
  <mergeCells count="4">
    <mergeCell ref="H9:J9"/>
    <mergeCell ref="A1:F1"/>
    <mergeCell ref="H1:J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Kenneth (STFC,RAL,PPD)</dc:creator>
  <cp:lastModifiedBy>Long, Kenneth (STFC,RAL,PPD)</cp:lastModifiedBy>
  <dcterms:created xsi:type="dcterms:W3CDTF">2025-11-16T21:42:12Z</dcterms:created>
  <dcterms:modified xsi:type="dcterms:W3CDTF">2025-11-16T22:57:44Z</dcterms:modified>
</cp:coreProperties>
</file>