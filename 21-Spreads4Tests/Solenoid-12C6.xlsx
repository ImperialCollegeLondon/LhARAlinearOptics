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i.box.com/wopi/files/2053254258697/WOPIServiceId_TP_BOX_2/WOPIUserId_-/"/>
    </mc:Choice>
  </mc:AlternateContent>
  <xr:revisionPtr revIDLastSave="9" documentId="13_ncr:1_{0B35ADED-EAEA-004E-8203-7AD480B9D2D6}" xr6:coauthVersionLast="47" xr6:coauthVersionMax="47" xr10:uidLastSave="{DDBBBECE-A805-8D4E-8AFB-78644B6F1303}"/>
  <bookViews>
    <workbookView xWindow="15180" yWindow="920" windowWidth="14900" windowHeight="18560" xr2:uid="{008B2FEE-BD6E-8742-A59F-ADD463C42F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D15" i="1"/>
  <c r="H4" i="1" l="1"/>
  <c r="H5" i="1" s="1"/>
  <c r="H6" i="1" s="1"/>
  <c r="B4" i="1"/>
  <c r="B5" i="1" s="1"/>
  <c r="B6" i="1" s="1"/>
  <c r="H11" i="1"/>
  <c r="H12" i="1" s="1"/>
  <c r="D16" i="1" l="1"/>
  <c r="C21" i="1" l="1"/>
  <c r="D17" i="1"/>
  <c r="E19" i="1"/>
  <c r="B22" i="1"/>
  <c r="D20" i="1"/>
  <c r="B19" i="1"/>
  <c r="C20" i="1"/>
  <c r="D21" i="1"/>
  <c r="E22" i="1"/>
  <c r="E20" i="1" l="1"/>
  <c r="C19" i="1"/>
  <c r="E21" i="1"/>
  <c r="B21" i="1"/>
  <c r="H26" i="1" s="1"/>
  <c r="C22" i="1"/>
  <c r="D19" i="1"/>
  <c r="H24" i="1" s="1"/>
  <c r="D22" i="1"/>
  <c r="B20" i="1"/>
  <c r="H25" i="1" s="1"/>
  <c r="E24" i="1" l="1" a="1"/>
  <c r="E27" i="1" s="1"/>
  <c r="H27" i="1"/>
  <c r="E26" i="1" l="1"/>
  <c r="K26" i="1" s="1"/>
  <c r="E24" i="1"/>
  <c r="K24" i="1" s="1"/>
  <c r="E25" i="1"/>
  <c r="K25" i="1" s="1"/>
  <c r="K27" i="1"/>
</calcChain>
</file>

<file path=xl/sharedStrings.xml><?xml version="1.0" encoding="utf-8"?>
<sst xmlns="http://schemas.openxmlformats.org/spreadsheetml/2006/main" count="44" uniqueCount="36">
  <si>
    <t>MeV</t>
  </si>
  <si>
    <t>Transfer matrix</t>
  </si>
  <si>
    <t>Particle</t>
  </si>
  <si>
    <t>Length</t>
  </si>
  <si>
    <t>m</t>
  </si>
  <si>
    <r>
      <t>m</t>
    </r>
    <r>
      <rPr>
        <vertAlign val="superscript"/>
        <sz val="12"/>
        <color theme="1"/>
        <rFont val="Calibri (Body)"/>
      </rPr>
      <t>-1</t>
    </r>
  </si>
  <si>
    <t>R</t>
  </si>
  <si>
    <t>Rprime</t>
  </si>
  <si>
    <t>Check</t>
  </si>
  <si>
    <t>c</t>
  </si>
  <si>
    <t>1/c</t>
  </si>
  <si>
    <t>1/c*10^9</t>
  </si>
  <si>
    <t>m/s</t>
  </si>
  <si>
    <t>s/m</t>
  </si>
  <si>
    <t>Solenoid</t>
  </si>
  <si>
    <t>T</t>
  </si>
  <si>
    <r>
      <t>Strength (B</t>
    </r>
    <r>
      <rPr>
        <vertAlign val="subscript"/>
        <sz val="12"/>
        <color theme="1"/>
        <rFont val="Calibri (Body)"/>
      </rPr>
      <t>0</t>
    </r>
    <r>
      <rPr>
        <sz val="12"/>
        <color theme="1"/>
        <rFont val="Calibri"/>
        <family val="2"/>
        <scheme val="minor"/>
      </rPr>
      <t>)</t>
    </r>
  </si>
  <si>
    <t>charge</t>
  </si>
  <si>
    <t>Input</t>
  </si>
  <si>
    <t>B/l element</t>
  </si>
  <si>
    <r>
      <rPr>
        <i/>
        <sz val="12"/>
        <color theme="1"/>
        <rFont val="Calibri"/>
        <family val="2"/>
        <scheme val="minor"/>
      </rPr>
      <t>k</t>
    </r>
    <r>
      <rPr>
        <i/>
        <vertAlign val="subscript"/>
        <sz val="12"/>
        <color theme="1"/>
        <rFont val="Calibri (Body)"/>
      </rPr>
      <t>s</t>
    </r>
    <r>
      <rPr>
        <sz val="12"/>
        <color theme="1"/>
        <rFont val="Calibri"/>
        <family val="2"/>
        <scheme val="minor"/>
      </rPr>
      <t xml:space="preserve"> = </t>
    </r>
  </si>
  <si>
    <t>Solenoid test sheet:</t>
  </si>
  <si>
    <t>Reference particle</t>
  </si>
  <si>
    <r>
      <t>K</t>
    </r>
    <r>
      <rPr>
        <i/>
        <vertAlign val="subscript"/>
        <sz val="12"/>
        <color theme="1"/>
        <rFont val="Calibri (Body)"/>
      </rPr>
      <t>r</t>
    </r>
  </si>
  <si>
    <r>
      <t>E</t>
    </r>
    <r>
      <rPr>
        <vertAlign val="subscript"/>
        <sz val="12"/>
        <color theme="1"/>
        <rFont val="Calibri (Body)"/>
      </rPr>
      <t>r</t>
    </r>
  </si>
  <si>
    <r>
      <t>p</t>
    </r>
    <r>
      <rPr>
        <i/>
        <vertAlign val="subscript"/>
        <sz val="12"/>
        <color theme="1"/>
        <rFont val="Calibri (Body)"/>
      </rPr>
      <t>r</t>
    </r>
  </si>
  <si>
    <r>
      <rPr>
        <sz val="12"/>
        <color theme="1"/>
        <rFont val="Symbol"/>
        <charset val="2"/>
      </rPr>
      <t>g</t>
    </r>
    <r>
      <rPr>
        <vertAlign val="subscript"/>
        <sz val="12"/>
        <color theme="1"/>
        <rFont val="Calibri (Body)"/>
      </rPr>
      <t>r</t>
    </r>
    <r>
      <rPr>
        <sz val="12"/>
        <color theme="1"/>
        <rFont val="Symbol"/>
        <charset val="2"/>
      </rPr>
      <t>b</t>
    </r>
    <r>
      <rPr>
        <vertAlign val="subscript"/>
        <sz val="12"/>
        <color theme="1"/>
        <rFont val="Calibri (Body)"/>
      </rPr>
      <t>r</t>
    </r>
  </si>
  <si>
    <t>(test particle)</t>
  </si>
  <si>
    <r>
      <t>E</t>
    </r>
    <r>
      <rPr>
        <vertAlign val="subscript"/>
        <sz val="12"/>
        <color theme="1"/>
        <rFont val="Calibri (Body)"/>
      </rPr>
      <t>t</t>
    </r>
  </si>
  <si>
    <r>
      <t>p</t>
    </r>
    <r>
      <rPr>
        <i/>
        <vertAlign val="subscript"/>
        <sz val="12"/>
        <color theme="1"/>
        <rFont val="Calibri (Body)"/>
      </rPr>
      <t>t</t>
    </r>
  </si>
  <si>
    <t>K</t>
  </si>
  <si>
    <t>Brho</t>
  </si>
  <si>
    <t>sin(kl)</t>
  </si>
  <si>
    <t>cos(kl)</t>
  </si>
  <si>
    <t>sin(kl)cos(kl)</t>
  </si>
  <si>
    <r>
      <t>m</t>
    </r>
    <r>
      <rPr>
        <vertAlign val="subscript"/>
        <sz val="12"/>
        <color theme="1"/>
        <rFont val="Calibri (Body)"/>
      </rPr>
      <t>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</si>
</sst>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11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vertAlign val="superscript"/>
      <sz val="12"/>
      <color theme="1"/>
      <name val="Calibri (Body)"/>
    </font>
    <font>
      <b/>
      <i/>
      <sz val="12"/>
      <color theme="1"/>
      <name val="Calibri"/>
      <family val="2"/>
      <scheme val="minor"/>
    </font>
    <font>
      <vertAlign val="subscript"/>
      <sz val="12"/>
      <color theme="1"/>
      <name val="Calibri (Body)"/>
    </font>
    <font>
      <sz val="12"/>
      <color theme="1"/>
      <name val="Symbol"/>
      <charset val="2"/>
    </font>
    <font>
      <sz val="12"/>
      <color theme="1"/>
      <name val="Calibri"/>
      <family val="2"/>
      <charset val="2"/>
      <scheme val="minor"/>
    </font>
    <font>
      <sz val="12"/>
      <color theme="1"/>
      <name val="Calibri"/>
      <family val="2"/>
      <charset val="2"/>
    </font>
    <font>
      <i/>
      <sz val="12"/>
      <color theme="1"/>
      <name val="Calibri"/>
      <family val="2"/>
      <scheme val="minor"/>
    </font>
    <font>
      <i/>
      <vertAlign val="subscript"/>
      <sz val="12"/>
      <color theme="1"/>
      <name val="Calibri (Body)"/>
    </font>
    <font>
      <sz val="12"/>
      <color theme="1"/>
      <name val="Calibri (Body)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right"/>
    </xf>
    <xf numFmtId="0" fontId="3" fillId="0" borderId="0" xfId="0" applyFont="1"/>
    <xf numFmtId="0" fontId="0" fillId="0" borderId="4" xfId="0" applyBorder="1"/>
    <xf numFmtId="0" fontId="3" fillId="0" borderId="5" xfId="0" applyFont="1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right"/>
    </xf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0" fontId="0" fillId="0" borderId="11" xfId="0" applyBorder="1"/>
    <xf numFmtId="0" fontId="0" fillId="0" borderId="4" xfId="0" applyBorder="1" applyAlignment="1">
      <alignment horizontal="right"/>
    </xf>
    <xf numFmtId="0" fontId="0" fillId="0" borderId="5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3" fillId="0" borderId="0" xfId="0" applyFont="1" applyAlignment="1">
      <alignment horizontal="right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6" fillId="0" borderId="7" xfId="0" applyFont="1" applyBorder="1" applyAlignment="1">
      <alignment horizontal="right"/>
    </xf>
    <xf numFmtId="0" fontId="8" fillId="0" borderId="7" xfId="0" applyFont="1" applyBorder="1" applyAlignment="1">
      <alignment horizontal="right"/>
    </xf>
    <xf numFmtId="164" fontId="0" fillId="0" borderId="0" xfId="0" applyNumberFormat="1"/>
    <xf numFmtId="0" fontId="7" fillId="0" borderId="7" xfId="0" applyFont="1" applyBorder="1" applyAlignment="1">
      <alignment horizontal="right"/>
    </xf>
    <xf numFmtId="0" fontId="0" fillId="0" borderId="3" xfId="0" applyBorder="1"/>
    <xf numFmtId="0" fontId="8" fillId="3" borderId="7" xfId="0" applyFont="1" applyFill="1" applyBorder="1" applyAlignment="1">
      <alignment horizontal="right"/>
    </xf>
    <xf numFmtId="164" fontId="0" fillId="3" borderId="0" xfId="0" applyNumberFormat="1" applyFill="1"/>
    <xf numFmtId="0" fontId="0" fillId="3" borderId="0" xfId="0" applyFill="1"/>
    <xf numFmtId="0" fontId="0" fillId="4" borderId="0" xfId="0" applyFill="1"/>
    <xf numFmtId="0" fontId="0" fillId="4" borderId="7" xfId="0" applyFill="1" applyBorder="1" applyAlignment="1">
      <alignment horizontal="right"/>
    </xf>
    <xf numFmtId="0" fontId="0" fillId="4" borderId="8" xfId="0" applyFill="1" applyBorder="1"/>
    <xf numFmtId="0" fontId="5" fillId="0" borderId="9" xfId="0" applyFont="1" applyBorder="1" applyAlignment="1">
      <alignment horizontal="right"/>
    </xf>
    <xf numFmtId="165" fontId="0" fillId="0" borderId="10" xfId="0" applyNumberFormat="1" applyBorder="1"/>
    <xf numFmtId="0" fontId="0" fillId="0" borderId="25" xfId="0" applyBorder="1"/>
    <xf numFmtId="0" fontId="0" fillId="0" borderId="26" xfId="0" applyBorder="1"/>
    <xf numFmtId="0" fontId="0" fillId="0" borderId="24" xfId="0" applyBorder="1"/>
    <xf numFmtId="0" fontId="10" fillId="0" borderId="7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C9CAF-347D-914C-A112-6F8981E6D7C0}">
  <dimension ref="A1:K27"/>
  <sheetViews>
    <sheetView tabSelected="1" zoomScaleNormal="100" workbookViewId="0">
      <selection activeCell="E6" sqref="E6"/>
    </sheetView>
  </sheetViews>
  <sheetFormatPr baseColWidth="10" defaultRowHeight="16" x14ac:dyDescent="0.2"/>
  <cols>
    <col min="1" max="1" width="17.33203125" style="1" customWidth="1"/>
    <col min="2" max="2" width="12.1640625" bestFit="1" customWidth="1"/>
    <col min="3" max="4" width="12.83203125" bestFit="1" customWidth="1"/>
    <col min="5" max="5" width="12.1640625" bestFit="1" customWidth="1"/>
    <col min="11" max="11" width="12.1640625" bestFit="1" customWidth="1"/>
  </cols>
  <sheetData>
    <row r="1" spans="1:11" ht="21" x14ac:dyDescent="0.25">
      <c r="A1" s="45" t="s">
        <v>21</v>
      </c>
      <c r="B1" s="46"/>
      <c r="C1" s="46"/>
      <c r="D1" s="46"/>
      <c r="E1" s="46"/>
      <c r="F1" s="46"/>
      <c r="G1" s="46"/>
      <c r="H1" s="46"/>
      <c r="I1" s="47"/>
    </row>
    <row r="2" spans="1:11" x14ac:dyDescent="0.2">
      <c r="A2" s="11"/>
      <c r="B2" s="4" t="s">
        <v>2</v>
      </c>
      <c r="C2" s="12" t="s">
        <v>27</v>
      </c>
      <c r="D2" s="3"/>
      <c r="E2" s="4" t="s">
        <v>14</v>
      </c>
      <c r="F2" s="5"/>
      <c r="G2" s="11"/>
      <c r="H2" s="4" t="s">
        <v>22</v>
      </c>
      <c r="I2" s="5"/>
      <c r="K2" s="33" t="s">
        <v>18</v>
      </c>
    </row>
    <row r="3" spans="1:11" ht="18" x14ac:dyDescent="0.25">
      <c r="A3" s="31" t="s">
        <v>30</v>
      </c>
      <c r="B3" s="32">
        <v>20</v>
      </c>
      <c r="C3" s="33" t="s">
        <v>0</v>
      </c>
      <c r="D3" s="35" t="s">
        <v>3</v>
      </c>
      <c r="E3" s="34">
        <v>0.85699999999999998</v>
      </c>
      <c r="F3" s="36" t="s">
        <v>4</v>
      </c>
      <c r="G3" s="27" t="s">
        <v>23</v>
      </c>
      <c r="H3" s="28">
        <v>20</v>
      </c>
      <c r="I3" s="7" t="s">
        <v>0</v>
      </c>
      <c r="K3" s="34" t="s">
        <v>19</v>
      </c>
    </row>
    <row r="4" spans="1:11" ht="18" x14ac:dyDescent="0.25">
      <c r="A4" s="6" t="s">
        <v>28</v>
      </c>
      <c r="B4" s="28">
        <f>B10+B3</f>
        <v>11194.8</v>
      </c>
      <c r="C4" t="s">
        <v>0</v>
      </c>
      <c r="D4" s="35" t="s">
        <v>16</v>
      </c>
      <c r="E4" s="34">
        <v>8.4000020000000006</v>
      </c>
      <c r="F4" s="36" t="s">
        <v>15</v>
      </c>
      <c r="G4" s="6" t="s">
        <v>24</v>
      </c>
      <c r="H4" s="28">
        <f>B10+H3</f>
        <v>11194.8</v>
      </c>
      <c r="I4" s="7" t="s">
        <v>0</v>
      </c>
    </row>
    <row r="5" spans="1:11" ht="20" x14ac:dyDescent="0.25">
      <c r="A5" s="27" t="s">
        <v>29</v>
      </c>
      <c r="B5" s="28">
        <f>SQRT(B4^2 - B10^2)</f>
        <v>668.87368015194022</v>
      </c>
      <c r="C5" t="s">
        <v>0</v>
      </c>
      <c r="D5" s="6" t="s">
        <v>20</v>
      </c>
      <c r="E5">
        <f>E4/(2*B6)*6</f>
        <v>11.294766059024209</v>
      </c>
      <c r="F5" s="7" t="s">
        <v>5</v>
      </c>
      <c r="G5" s="27" t="s">
        <v>25</v>
      </c>
      <c r="H5" s="28">
        <f>SQRT(H4^2 -B10^ 2)</f>
        <v>668.87368015194022</v>
      </c>
      <c r="I5" s="7" t="s">
        <v>0</v>
      </c>
    </row>
    <row r="6" spans="1:11" ht="20" x14ac:dyDescent="0.25">
      <c r="A6" s="42" t="s">
        <v>31</v>
      </c>
      <c r="B6">
        <f>B5*H12/1000</f>
        <v>2.2311224392174007</v>
      </c>
      <c r="C6" s="7"/>
      <c r="D6" s="26"/>
      <c r="F6" s="7" t="s">
        <v>5</v>
      </c>
      <c r="G6" s="29" t="s">
        <v>26</v>
      </c>
      <c r="H6">
        <f>H5/B10</f>
        <v>5.9855539262621278E-2</v>
      </c>
      <c r="I6" s="7"/>
    </row>
    <row r="7" spans="1:11" x14ac:dyDescent="0.2">
      <c r="A7" s="6"/>
      <c r="C7" s="7"/>
      <c r="D7" s="26"/>
      <c r="F7" s="7"/>
      <c r="G7" s="6" t="s">
        <v>17</v>
      </c>
      <c r="H7">
        <v>1</v>
      </c>
      <c r="I7" s="7"/>
    </row>
    <row r="8" spans="1:11" x14ac:dyDescent="0.2">
      <c r="A8" s="8"/>
      <c r="B8" s="9"/>
      <c r="C8" s="10"/>
      <c r="D8" s="37"/>
      <c r="E8" s="38"/>
      <c r="F8" s="10"/>
      <c r="G8" s="8"/>
      <c r="H8" s="9"/>
      <c r="I8" s="10"/>
    </row>
    <row r="10" spans="1:11" ht="18" x14ac:dyDescent="0.25">
      <c r="A10" s="43" t="s">
        <v>35</v>
      </c>
      <c r="B10" s="44">
        <v>11174.8</v>
      </c>
      <c r="C10" s="30" t="s">
        <v>0</v>
      </c>
      <c r="G10" s="11" t="s">
        <v>9</v>
      </c>
      <c r="H10" s="12">
        <v>299792458</v>
      </c>
      <c r="I10" s="5" t="s">
        <v>12</v>
      </c>
    </row>
    <row r="11" spans="1:11" x14ac:dyDescent="0.2">
      <c r="G11" s="6" t="s">
        <v>10</v>
      </c>
      <c r="H11">
        <f>1/H10</f>
        <v>3.3356409519815204E-9</v>
      </c>
      <c r="I11" s="7" t="s">
        <v>13</v>
      </c>
    </row>
    <row r="12" spans="1:11" x14ac:dyDescent="0.2">
      <c r="G12" s="8" t="s">
        <v>11</v>
      </c>
      <c r="H12" s="9">
        <f>H11*1000000000</f>
        <v>3.3356409519815204</v>
      </c>
      <c r="I12" s="10" t="s">
        <v>13</v>
      </c>
    </row>
    <row r="15" spans="1:11" x14ac:dyDescent="0.2">
      <c r="C15" s="11" t="s">
        <v>32</v>
      </c>
      <c r="D15" s="5">
        <f>SIN(E5*E3)</f>
        <v>-0.25208724245569147</v>
      </c>
    </row>
    <row r="16" spans="1:11" x14ac:dyDescent="0.2">
      <c r="C16" s="6" t="s">
        <v>33</v>
      </c>
      <c r="D16" s="7">
        <f>COS(E5*E3)</f>
        <v>-0.9677045118170553</v>
      </c>
    </row>
    <row r="17" spans="1:11" x14ac:dyDescent="0.2">
      <c r="C17" s="8" t="s">
        <v>34</v>
      </c>
      <c r="D17" s="10">
        <f>D15*D16</f>
        <v>0.24394596189589257</v>
      </c>
    </row>
    <row r="19" spans="1:11" x14ac:dyDescent="0.2">
      <c r="B19" s="13">
        <f>D16^2</f>
        <v>0.93645202219108536</v>
      </c>
      <c r="C19" s="14">
        <f>D17/E5</f>
        <v>2.1598142061648673E-2</v>
      </c>
      <c r="D19" s="14">
        <f>D17</f>
        <v>0.24394596189589257</v>
      </c>
      <c r="E19" s="15">
        <f>(D15^2)/E5</f>
        <v>5.6263208531124459E-3</v>
      </c>
    </row>
    <row r="20" spans="1:11" x14ac:dyDescent="0.2">
      <c r="B20" s="16">
        <f>-E5*D17</f>
        <v>-2.7553125706577402</v>
      </c>
      <c r="C20" s="17">
        <f>D16^2</f>
        <v>0.93645202219108536</v>
      </c>
      <c r="D20" s="17">
        <f>-E5*(D15^2)</f>
        <v>-0.71775954287575194</v>
      </c>
      <c r="E20" s="18">
        <f>D17</f>
        <v>0.24394596189589257</v>
      </c>
    </row>
    <row r="21" spans="1:11" x14ac:dyDescent="0.2">
      <c r="A21" s="22" t="s">
        <v>1</v>
      </c>
      <c r="B21" s="16">
        <f>-D17</f>
        <v>-0.24394596189589257</v>
      </c>
      <c r="C21" s="17">
        <f>-(D15^2)/E5</f>
        <v>-5.6263208531124459E-3</v>
      </c>
      <c r="D21" s="17">
        <f>D16^2</f>
        <v>0.93645202219108536</v>
      </c>
      <c r="E21" s="18">
        <f>D17/E5</f>
        <v>2.1598142061648673E-2</v>
      </c>
    </row>
    <row r="22" spans="1:11" x14ac:dyDescent="0.2">
      <c r="B22" s="19">
        <f>E5*D15^2</f>
        <v>0.71775954287575194</v>
      </c>
      <c r="C22" s="20">
        <f>-D17</f>
        <v>-0.24394596189589257</v>
      </c>
      <c r="D22" s="20">
        <f>-E5*D17</f>
        <v>-2.7553125706577402</v>
      </c>
      <c r="E22" s="21">
        <f>D16^2</f>
        <v>0.93645202219108536</v>
      </c>
    </row>
    <row r="24" spans="1:11" x14ac:dyDescent="0.2">
      <c r="B24" s="23">
        <v>0.1</v>
      </c>
      <c r="D24" s="2" t="s">
        <v>7</v>
      </c>
      <c r="E24" s="23">
        <f t="array" ref="E24:E27">MMULT(B19:E22,B24:B27)</f>
        <v>7.028515606506168E-2</v>
      </c>
      <c r="G24" s="2" t="s">
        <v>8</v>
      </c>
      <c r="H24" s="23">
        <f>B$24*B19+B$25*C19+B$26*D19+B$27*E19</f>
        <v>7.028515606506168E-2</v>
      </c>
      <c r="K24" s="39">
        <f>E24-H24</f>
        <v>0</v>
      </c>
    </row>
    <row r="25" spans="1:11" x14ac:dyDescent="0.2">
      <c r="B25" s="24">
        <v>0.1</v>
      </c>
      <c r="E25" s="24">
        <v>-0.15889929293826879</v>
      </c>
      <c r="H25" s="24">
        <f>B$24*B20+B$25*C20+B$26*D20+B$27*E20</f>
        <v>-0.15889929293826879</v>
      </c>
      <c r="K25" s="40">
        <f>E25-H25</f>
        <v>0</v>
      </c>
    </row>
    <row r="26" spans="1:11" x14ac:dyDescent="0.2">
      <c r="A26" s="22" t="s">
        <v>6</v>
      </c>
      <c r="B26" s="24">
        <v>-0.1</v>
      </c>
      <c r="E26" s="24">
        <v>-0.12292205890633878</v>
      </c>
      <c r="H26" s="24">
        <f>B$24*B21+B$25*C21+B$26*D21+B$27*E21</f>
        <v>-0.12292205890633878</v>
      </c>
      <c r="K26" s="40">
        <f>E26-H26</f>
        <v>0</v>
      </c>
    </row>
    <row r="27" spans="1:11" x14ac:dyDescent="0.2">
      <c r="B27" s="25">
        <v>-0.2</v>
      </c>
      <c r="E27" s="25">
        <v>0.13562221072554287</v>
      </c>
      <c r="H27" s="25">
        <f>B$24*B22+B$25*C22+B$26*D22+B$27*E22</f>
        <v>0.13562221072554287</v>
      </c>
      <c r="K27" s="41">
        <f>E27-H27</f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Long, Kenneth R</dc:creator>
  <cp:lastModifiedBy>Kenneth Long</cp:lastModifiedBy>
  <dcterms:created xsi:type="dcterms:W3CDTF">2023-08-07T07:21:12Z</dcterms:created>
  <dcterms:modified xsi:type="dcterms:W3CDTF">2025-11-24T19:34:36Z</dcterms:modified>
</cp:coreProperties>
</file>