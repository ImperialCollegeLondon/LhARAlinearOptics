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056263865509/WOPIServiceId_TP_BOX_2/WOPIUserId_-/"/>
    </mc:Choice>
  </mc:AlternateContent>
  <xr:revisionPtr revIDLastSave="153" documentId="13_ncr:1_{8D7310F1-EDAC-1446-B06E-D6D217703B7E}" xr6:coauthVersionLast="47" xr6:coauthVersionMax="47" xr10:uidLastSave="{CCEA12D9-D978-CB41-B540-B0C79185CE45}"/>
  <bookViews>
    <workbookView xWindow="0" yWindow="760" windowWidth="30240" windowHeight="18880" xr2:uid="{18B04D0A-E0CC-0944-8399-8D7F9F02DB42}"/>
  </bookViews>
  <sheets>
    <sheet name="Sheet1" sheetId="1" r:id="rId1"/>
  </sheets>
  <definedNames>
    <definedName name="_xlnm.Print_Area" localSheetId="0">Sheet1!$F$3:$L$16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J23" i="1"/>
  <c r="J24" i="1"/>
  <c r="K15" i="1"/>
  <c r="E23" i="1"/>
  <c r="C26" i="1"/>
  <c r="H16" i="1"/>
  <c r="L11" i="1"/>
  <c r="K16" i="1"/>
  <c r="G13" i="1"/>
  <c r="G6" i="1"/>
  <c r="G7" i="1" s="1"/>
  <c r="J11" i="1" s="1"/>
  <c r="K7" i="1" s="1"/>
  <c r="A11" i="1"/>
  <c r="A10" i="1"/>
  <c r="A9" i="1"/>
  <c r="A8" i="1"/>
  <c r="A7" i="1"/>
  <c r="B15" i="1"/>
  <c r="B16" i="1" s="1"/>
  <c r="A6" i="1"/>
  <c r="J26" i="1" l="1"/>
  <c r="J27" i="1" s="1"/>
  <c r="K8" i="1"/>
  <c r="K11" i="1"/>
  <c r="K6" i="1"/>
  <c r="K5" i="1" s="1"/>
  <c r="G8" i="1"/>
  <c r="B8" i="1" s="1"/>
  <c r="C8" i="1" s="1"/>
  <c r="D8" i="1" s="1"/>
  <c r="B7" i="1"/>
  <c r="C7" i="1" s="1"/>
  <c r="D7" i="1" s="1"/>
  <c r="B11" i="1" l="1"/>
  <c r="C11" i="1" s="1"/>
  <c r="D11" i="1" s="1"/>
  <c r="B12" i="1"/>
  <c r="C12" i="1" s="1"/>
  <c r="D12" i="1" s="1"/>
  <c r="B9" i="1"/>
  <c r="C9" i="1" s="1"/>
  <c r="D9" i="1" s="1"/>
  <c r="B10" i="1"/>
  <c r="C10" i="1" s="1"/>
  <c r="D10" i="1" s="1"/>
  <c r="B6" i="1"/>
  <c r="C6" i="1" s="1"/>
  <c r="D6" i="1" s="1"/>
</calcChain>
</file>

<file path=xl/sharedStrings.xml><?xml version="1.0" encoding="utf-8"?>
<sst xmlns="http://schemas.openxmlformats.org/spreadsheetml/2006/main" count="41" uniqueCount="29">
  <si>
    <t>Solenoid strength</t>
  </si>
  <si>
    <t>kSol</t>
  </si>
  <si>
    <t>K</t>
  </si>
  <si>
    <r>
      <t>m</t>
    </r>
    <r>
      <rPr>
        <i/>
        <vertAlign val="subscript"/>
        <sz val="12"/>
        <color theme="1"/>
        <rFont val="Calibri (Body)"/>
      </rPr>
      <t>p</t>
    </r>
  </si>
  <si>
    <t>MeV</t>
  </si>
  <si>
    <t>c</t>
  </si>
  <si>
    <t>m/s</t>
  </si>
  <si>
    <t>1/c</t>
  </si>
  <si>
    <t>s/m</t>
  </si>
  <si>
    <t>1/c*10^9</t>
  </si>
  <si>
    <t>Proton</t>
  </si>
  <si>
    <r>
      <t>Brho</t>
    </r>
    <r>
      <rPr>
        <vertAlign val="subscript"/>
        <sz val="12"/>
        <color theme="1"/>
        <rFont val="Aptos Narrow (Body)"/>
      </rPr>
      <t>p</t>
    </r>
  </si>
  <si>
    <r>
      <rPr>
        <i/>
        <sz val="12"/>
        <color theme="1"/>
        <rFont val="Aptos Narrow"/>
        <family val="2"/>
        <scheme val="minor"/>
      </rPr>
      <t>p</t>
    </r>
    <r>
      <rPr>
        <i/>
        <vertAlign val="subscript"/>
        <sz val="12"/>
        <color theme="1"/>
        <rFont val="Aptos Narrow (Body)"/>
      </rPr>
      <t>p</t>
    </r>
  </si>
  <si>
    <r>
      <t>E</t>
    </r>
    <r>
      <rPr>
        <i/>
        <vertAlign val="subscript"/>
        <sz val="12"/>
        <color theme="1"/>
        <rFont val="Aptos Narrow (Body)"/>
      </rPr>
      <t>p</t>
    </r>
  </si>
  <si>
    <r>
      <rPr>
        <b/>
        <vertAlign val="superscript"/>
        <sz val="12"/>
        <color theme="1"/>
        <rFont val="Aptos Narrow (Body)"/>
      </rPr>
      <t>12</t>
    </r>
    <r>
      <rPr>
        <b/>
        <sz val="12"/>
        <color theme="1"/>
        <rFont val="Aptos Narrow"/>
        <scheme val="minor"/>
      </rPr>
      <t>C</t>
    </r>
    <r>
      <rPr>
        <b/>
        <vertAlign val="superscript"/>
        <sz val="12"/>
        <color theme="1"/>
        <rFont val="Aptos Narrow (Body)"/>
      </rPr>
      <t>6</t>
    </r>
  </si>
  <si>
    <r>
      <t>m</t>
    </r>
    <r>
      <rPr>
        <i/>
        <vertAlign val="subscript"/>
        <sz val="12"/>
        <color theme="1"/>
        <rFont val="Calibri (Body)"/>
      </rPr>
      <t>C</t>
    </r>
  </si>
  <si>
    <r>
      <t>E</t>
    </r>
    <r>
      <rPr>
        <i/>
        <vertAlign val="subscript"/>
        <sz val="12"/>
        <color theme="1"/>
        <rFont val="Aptos Narrow (Body)"/>
      </rPr>
      <t>C</t>
    </r>
  </si>
  <si>
    <r>
      <t>p</t>
    </r>
    <r>
      <rPr>
        <i/>
        <vertAlign val="subscript"/>
        <sz val="12"/>
        <color theme="1"/>
        <rFont val="Aptos Narrow (Body)"/>
      </rPr>
      <t>C</t>
    </r>
  </si>
  <si>
    <r>
      <t>Brho</t>
    </r>
    <r>
      <rPr>
        <vertAlign val="subscript"/>
        <sz val="12"/>
        <color theme="1"/>
        <rFont val="Aptos Narrow (Body)"/>
      </rPr>
      <t>C</t>
    </r>
  </si>
  <si>
    <t>Charge</t>
  </si>
  <si>
    <t>Rigidity</t>
  </si>
  <si>
    <t>Carbon</t>
  </si>
  <si>
    <t>k(Gabor)</t>
  </si>
  <si>
    <t>proton</t>
  </si>
  <si>
    <t>carbon</t>
  </si>
  <si>
    <r>
      <rPr>
        <b/>
        <sz val="12"/>
        <color theme="1"/>
        <rFont val="Symbol"/>
        <charset val="2"/>
      </rPr>
      <t>b</t>
    </r>
    <r>
      <rPr>
        <b/>
        <vertAlign val="subscript"/>
        <sz val="12"/>
        <color theme="1"/>
        <rFont val="Aptos Narrow (Body)"/>
      </rPr>
      <t>0</t>
    </r>
    <r>
      <rPr>
        <b/>
        <vertAlign val="superscript"/>
        <sz val="12"/>
        <color theme="1"/>
        <rFont val="Aptos Narrow (Body)"/>
      </rPr>
      <t>p</t>
    </r>
  </si>
  <si>
    <r>
      <rPr>
        <b/>
        <sz val="12"/>
        <color theme="1"/>
        <rFont val="Symbol"/>
        <charset val="2"/>
      </rPr>
      <t>b</t>
    </r>
    <r>
      <rPr>
        <b/>
        <vertAlign val="subscript"/>
        <sz val="12"/>
        <color theme="1"/>
        <rFont val="Aptos Narrow (Body)"/>
      </rPr>
      <t>0</t>
    </r>
    <r>
      <rPr>
        <b/>
        <vertAlign val="superscript"/>
        <sz val="12"/>
        <color theme="1"/>
        <rFont val="Aptos Narrow (Body)"/>
      </rPr>
      <t>C</t>
    </r>
  </si>
  <si>
    <t>Ratio</t>
  </si>
  <si>
    <t>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</si>
</sst>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vertAlign val="subscript"/>
      <sz val="12"/>
      <color theme="1"/>
      <name val="Calibri (Body)"/>
    </font>
    <font>
      <vertAlign val="subscript"/>
      <sz val="12"/>
      <color theme="1"/>
      <name val="Aptos Narrow (Body)"/>
    </font>
    <font>
      <i/>
      <vertAlign val="subscript"/>
      <sz val="12"/>
      <color theme="1"/>
      <name val="Aptos Narrow (Body)"/>
    </font>
    <font>
      <b/>
      <sz val="12"/>
      <color theme="1"/>
      <name val="Aptos Narrow"/>
      <scheme val="minor"/>
    </font>
    <font>
      <b/>
      <vertAlign val="superscript"/>
      <sz val="12"/>
      <color theme="1"/>
      <name val="Aptos Narrow (Body)"/>
    </font>
    <font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b/>
      <vertAlign val="subscript"/>
      <sz val="12"/>
      <color theme="1"/>
      <name val="Aptos Narrow (Body)"/>
    </font>
    <font>
      <b/>
      <sz val="12"/>
      <color theme="1"/>
      <name val="Symbol"/>
      <charset val="2"/>
    </font>
    <font>
      <b/>
      <sz val="12"/>
      <color theme="1"/>
      <name val="Aptos Narrow"/>
      <family val="2"/>
      <charset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right"/>
    </xf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7" fillId="0" borderId="9" xfId="0" applyFont="1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5" fillId="3" borderId="13" xfId="0" applyFont="1" applyFill="1" applyBorder="1" applyAlignment="1">
      <alignment horizontal="center"/>
    </xf>
    <xf numFmtId="0" fontId="5" fillId="3" borderId="13" xfId="0" applyFont="1" applyFill="1" applyBorder="1"/>
    <xf numFmtId="0" fontId="5" fillId="3" borderId="14" xfId="0" applyFont="1" applyFill="1" applyBorder="1" applyAlignment="1">
      <alignment horizontal="center"/>
    </xf>
    <xf numFmtId="0" fontId="0" fillId="4" borderId="0" xfId="0" applyFill="1"/>
    <xf numFmtId="0" fontId="8" fillId="0" borderId="0" xfId="0" applyFont="1"/>
    <xf numFmtId="0" fontId="11" fillId="3" borderId="4" xfId="0" applyFont="1" applyFill="1" applyBorder="1" applyAlignment="1">
      <alignment horizontal="right"/>
    </xf>
    <xf numFmtId="0" fontId="0" fillId="3" borderId="5" xfId="0" applyFill="1" applyBorder="1"/>
    <xf numFmtId="0" fontId="11" fillId="3" borderId="5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0" fillId="3" borderId="0" xfId="0" applyFill="1"/>
    <xf numFmtId="0" fontId="0" fillId="3" borderId="8" xfId="0" applyFill="1" applyBorder="1"/>
    <xf numFmtId="0" fontId="0" fillId="3" borderId="9" xfId="0" applyFill="1" applyBorder="1"/>
    <xf numFmtId="0" fontId="5" fillId="3" borderId="10" xfId="0" applyFont="1" applyFill="1" applyBorder="1"/>
    <xf numFmtId="0" fontId="0" fillId="3" borderId="11" xfId="0" applyFill="1" applyBorder="1"/>
    <xf numFmtId="0" fontId="8" fillId="3" borderId="10" xfId="0" applyFont="1" applyFill="1" applyBorder="1" applyAlignment="1">
      <alignment horizontal="right"/>
    </xf>
    <xf numFmtId="0" fontId="5" fillId="5" borderId="1" xfId="0" applyFont="1" applyFill="1" applyBorder="1" applyAlignment="1">
      <alignment horizontal="right"/>
    </xf>
    <xf numFmtId="0" fontId="5" fillId="5" borderId="2" xfId="0" applyFont="1" applyFill="1" applyBorder="1"/>
    <xf numFmtId="2" fontId="0" fillId="0" borderId="5" xfId="0" applyNumberFormat="1" applyBorder="1"/>
    <xf numFmtId="2" fontId="0" fillId="0" borderId="0" xfId="0" applyNumberFormat="1"/>
    <xf numFmtId="2" fontId="0" fillId="3" borderId="5" xfId="0" applyNumberFormat="1" applyFill="1" applyBorder="1"/>
    <xf numFmtId="2" fontId="0" fillId="3" borderId="0" xfId="0" applyNumberFormat="1" applyFill="1"/>
    <xf numFmtId="2" fontId="5" fillId="3" borderId="10" xfId="0" applyNumberFormat="1" applyFont="1" applyFill="1" applyBorder="1"/>
    <xf numFmtId="2" fontId="5" fillId="5" borderId="3" xfId="0" applyNumberFormat="1" applyFont="1" applyFill="1" applyBorder="1"/>
    <xf numFmtId="2" fontId="5" fillId="5" borderId="2" xfId="0" applyNumberFormat="1" applyFont="1" applyFill="1" applyBorder="1"/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62AF3-1C90-7849-BF2D-377057E3DBCC}">
  <dimension ref="A3:L27"/>
  <sheetViews>
    <sheetView tabSelected="1" workbookViewId="0">
      <selection activeCell="L7" sqref="L7"/>
    </sheetView>
  </sheetViews>
  <sheetFormatPr baseColWidth="10" defaultRowHeight="16" x14ac:dyDescent="0.2"/>
  <cols>
    <col min="1" max="1" width="15.1640625" bestFit="1" customWidth="1"/>
    <col min="3" max="3" width="15.1640625" bestFit="1" customWidth="1"/>
    <col min="9" max="9" width="4" customWidth="1"/>
    <col min="10" max="10" width="12.1640625" bestFit="1" customWidth="1"/>
  </cols>
  <sheetData>
    <row r="3" spans="1:12" ht="19" x14ac:dyDescent="0.2">
      <c r="F3" s="41" t="s">
        <v>10</v>
      </c>
      <c r="G3" s="42"/>
      <c r="H3" s="43"/>
      <c r="J3" s="41" t="s">
        <v>14</v>
      </c>
      <c r="K3" s="42"/>
      <c r="L3" s="43"/>
    </row>
    <row r="4" spans="1:12" ht="18" x14ac:dyDescent="0.25">
      <c r="A4" s="16" t="s">
        <v>10</v>
      </c>
      <c r="B4" s="17"/>
      <c r="C4" s="16" t="s">
        <v>21</v>
      </c>
      <c r="F4" s="11" t="s">
        <v>3</v>
      </c>
      <c r="G4" s="34">
        <v>938.27208815999995</v>
      </c>
      <c r="H4" s="4" t="s">
        <v>4</v>
      </c>
      <c r="J4" s="11" t="s">
        <v>15</v>
      </c>
      <c r="K4" s="34">
        <v>11174.8</v>
      </c>
      <c r="L4" s="4" t="s">
        <v>4</v>
      </c>
    </row>
    <row r="5" spans="1:12" x14ac:dyDescent="0.2">
      <c r="A5" s="18" t="s">
        <v>0</v>
      </c>
      <c r="B5" s="18" t="s">
        <v>1</v>
      </c>
      <c r="C5" s="18" t="s">
        <v>0</v>
      </c>
      <c r="D5" s="1"/>
      <c r="F5" s="12" t="s">
        <v>2</v>
      </c>
      <c r="G5" s="35">
        <v>15</v>
      </c>
      <c r="H5" s="6" t="s">
        <v>4</v>
      </c>
      <c r="J5" s="12" t="s">
        <v>2</v>
      </c>
      <c r="K5" s="35">
        <f>K6-K4</f>
        <v>45.609479836855826</v>
      </c>
      <c r="L5" s="6"/>
    </row>
    <row r="6" spans="1:12" ht="18" x14ac:dyDescent="0.25">
      <c r="A6" s="14">
        <f>2.4916949087545</f>
        <v>2.4916949087544999</v>
      </c>
      <c r="B6" s="14">
        <f>A6*$G$9/(2*$G$8)</f>
        <v>2.2173369708261088</v>
      </c>
      <c r="C6" s="14">
        <f>B6*2*$K$8/$K$9</f>
        <v>2.4916949087545004</v>
      </c>
      <c r="D6">
        <f>A6-C6</f>
        <v>0</v>
      </c>
      <c r="F6" s="12" t="s">
        <v>13</v>
      </c>
      <c r="G6" s="35">
        <f>G4+G5</f>
        <v>953.27208815999995</v>
      </c>
      <c r="H6" s="6" t="s">
        <v>4</v>
      </c>
      <c r="J6" s="12" t="s">
        <v>16</v>
      </c>
      <c r="K6" s="35">
        <f>SQRT(K4^2+K7^2)</f>
        <v>11220.409479836855</v>
      </c>
      <c r="L6" s="6" t="s">
        <v>4</v>
      </c>
    </row>
    <row r="7" spans="1:12" ht="18" x14ac:dyDescent="0.25">
      <c r="A7" s="10">
        <f>1.01874726126505</f>
        <v>1.0187472612650501</v>
      </c>
      <c r="B7" s="10">
        <f t="shared" ref="B7:B11" si="0">A7/(2*$G$8)</f>
        <v>0.90657405864347118</v>
      </c>
      <c r="C7" s="10">
        <f t="shared" ref="C7:C11" si="1">B7*2*$K$8/$K$9</f>
        <v>1.0187472612650501</v>
      </c>
      <c r="D7">
        <f t="shared" ref="D7:D12" si="2">A7-C7</f>
        <v>0</v>
      </c>
      <c r="F7" s="12" t="s">
        <v>12</v>
      </c>
      <c r="G7" s="35">
        <f>SQRT(G6^2-G4^2)</f>
        <v>168.44335144136713</v>
      </c>
      <c r="H7" s="6" t="s">
        <v>4</v>
      </c>
      <c r="J7" s="12" t="s">
        <v>17</v>
      </c>
      <c r="K7" s="35">
        <f>J11*K9</f>
        <v>1010.6601086482028</v>
      </c>
      <c r="L7" s="6" t="s">
        <v>4</v>
      </c>
    </row>
    <row r="8" spans="1:12" ht="18" x14ac:dyDescent="0.25">
      <c r="A8" s="10">
        <f>1.4485646330252</f>
        <v>1.4485646330252</v>
      </c>
      <c r="B8" s="10">
        <f t="shared" si="0"/>
        <v>1.2890646861109738</v>
      </c>
      <c r="C8" s="10">
        <f t="shared" si="1"/>
        <v>1.4485646330252002</v>
      </c>
      <c r="D8">
        <f t="shared" si="2"/>
        <v>0</v>
      </c>
      <c r="F8" s="5" t="s">
        <v>11</v>
      </c>
      <c r="G8" s="35">
        <f>G7*B16/1000</f>
        <v>0.56186654115683965</v>
      </c>
      <c r="H8" s="6" t="s">
        <v>28</v>
      </c>
      <c r="J8" s="5" t="s">
        <v>18</v>
      </c>
      <c r="K8" s="35">
        <f>K7*B16/1000</f>
        <v>3.3711992469410381</v>
      </c>
      <c r="L8" s="6" t="s">
        <v>28</v>
      </c>
    </row>
    <row r="9" spans="1:12" x14ac:dyDescent="0.2">
      <c r="A9" s="10">
        <f>1.78885896627796</f>
        <v>1.7888589662779599</v>
      </c>
      <c r="B9" s="10">
        <f>A9/(2*$G$8)</f>
        <v>1.5918895638409416</v>
      </c>
      <c r="C9" s="10">
        <f t="shared" si="1"/>
        <v>1.7888589662779599</v>
      </c>
      <c r="D9">
        <f t="shared" si="2"/>
        <v>0</v>
      </c>
      <c r="F9" s="13" t="s">
        <v>19</v>
      </c>
      <c r="G9" s="8">
        <v>1</v>
      </c>
      <c r="H9" s="9"/>
      <c r="J9" s="13" t="s">
        <v>19</v>
      </c>
      <c r="K9" s="8">
        <v>6</v>
      </c>
      <c r="L9" s="9"/>
    </row>
    <row r="10" spans="1:12" x14ac:dyDescent="0.2">
      <c r="A10" s="10">
        <f>1.60433994066042</f>
        <v>1.60433994066042</v>
      </c>
      <c r="B10" s="10">
        <f t="shared" si="0"/>
        <v>1.4276877364482394</v>
      </c>
      <c r="C10" s="10">
        <f t="shared" si="1"/>
        <v>1.60433994066042</v>
      </c>
      <c r="D10">
        <f t="shared" si="2"/>
        <v>0</v>
      </c>
    </row>
    <row r="11" spans="1:12" x14ac:dyDescent="0.2">
      <c r="A11" s="10">
        <f>1.24481401652751</f>
        <v>1.2448140165275099</v>
      </c>
      <c r="B11" s="10">
        <f t="shared" si="0"/>
        <v>1.1077488383313716</v>
      </c>
      <c r="C11" s="10">
        <f t="shared" si="1"/>
        <v>1.2448140165275099</v>
      </c>
      <c r="D11">
        <f t="shared" si="2"/>
        <v>0</v>
      </c>
      <c r="H11" s="20" t="s">
        <v>20</v>
      </c>
      <c r="J11">
        <f>G7/G9</f>
        <v>168.44335144136713</v>
      </c>
      <c r="K11" s="19">
        <f>K7/K9</f>
        <v>168.44335144136713</v>
      </c>
      <c r="L11" s="19">
        <f>J11-K11</f>
        <v>0</v>
      </c>
    </row>
    <row r="12" spans="1:12" x14ac:dyDescent="0.2">
      <c r="A12" s="15">
        <v>1.1659674900000001</v>
      </c>
      <c r="B12" s="15">
        <f>A12/(2*$G$8)</f>
        <v>1.0375840209308098</v>
      </c>
      <c r="C12" s="15">
        <f>B12*2*$K$8/$K$9</f>
        <v>1.1659674900000001</v>
      </c>
      <c r="D12">
        <f t="shared" si="2"/>
        <v>0</v>
      </c>
    </row>
    <row r="13" spans="1:12" ht="20" x14ac:dyDescent="0.25">
      <c r="F13" s="21" t="s">
        <v>25</v>
      </c>
      <c r="G13" s="22">
        <f>0.176700181871962</f>
        <v>0.17670018187196199</v>
      </c>
      <c r="H13" s="22"/>
      <c r="I13" s="22"/>
      <c r="J13" s="23" t="s">
        <v>26</v>
      </c>
      <c r="K13" s="36">
        <v>9.0073371204394598E-2</v>
      </c>
      <c r="L13" s="24"/>
    </row>
    <row r="14" spans="1:12" x14ac:dyDescent="0.2">
      <c r="A14" s="2" t="s">
        <v>5</v>
      </c>
      <c r="B14" s="3">
        <v>299792458</v>
      </c>
      <c r="C14" s="4" t="s">
        <v>6</v>
      </c>
      <c r="F14" s="25"/>
      <c r="G14" s="26"/>
      <c r="H14" s="26"/>
      <c r="I14" s="26"/>
      <c r="J14" s="26"/>
      <c r="K14" s="37"/>
      <c r="L14" s="27"/>
    </row>
    <row r="15" spans="1:12" x14ac:dyDescent="0.2">
      <c r="A15" s="5" t="s">
        <v>7</v>
      </c>
      <c r="B15">
        <f>1/B14</f>
        <v>3.3356409519815204E-9</v>
      </c>
      <c r="C15" s="6" t="s">
        <v>8</v>
      </c>
      <c r="F15" s="28"/>
      <c r="G15" s="31" t="s">
        <v>22</v>
      </c>
      <c r="H15" s="38">
        <v>1.55213587950159</v>
      </c>
      <c r="I15" s="29"/>
      <c r="J15" s="29"/>
      <c r="K15" s="38">
        <f>3.04488095078407</f>
        <v>3.0448809507840702</v>
      </c>
      <c r="L15" s="30"/>
    </row>
    <row r="16" spans="1:12" x14ac:dyDescent="0.2">
      <c r="A16" s="7" t="s">
        <v>9</v>
      </c>
      <c r="B16" s="8">
        <f>B15*1000000000</f>
        <v>3.3356409519815204</v>
      </c>
      <c r="C16" s="9" t="s">
        <v>8</v>
      </c>
      <c r="G16" s="32" t="s">
        <v>27</v>
      </c>
      <c r="H16" s="40">
        <f>H15/$H$15</f>
        <v>1</v>
      </c>
      <c r="I16" s="33"/>
      <c r="J16" s="33"/>
      <c r="K16" s="39">
        <f>K15/$H$15</f>
        <v>1.961736076716311</v>
      </c>
    </row>
    <row r="20" spans="2:10" x14ac:dyDescent="0.2">
      <c r="J20">
        <f>G13/K13</f>
        <v>1.9617360770365053</v>
      </c>
    </row>
    <row r="23" spans="2:10" x14ac:dyDescent="0.2">
      <c r="B23" t="s">
        <v>23</v>
      </c>
      <c r="C23">
        <v>5106095587690800</v>
      </c>
      <c r="E23">
        <f>C23/C24</f>
        <v>0.99999999993199107</v>
      </c>
      <c r="J23">
        <f>H15*J20</f>
        <v>3.0448809512810553</v>
      </c>
    </row>
    <row r="24" spans="2:10" x14ac:dyDescent="0.2">
      <c r="B24" t="s">
        <v>24</v>
      </c>
      <c r="C24">
        <v>5106095588038060</v>
      </c>
      <c r="J24">
        <f>J23-K15</f>
        <v>4.9698511972451342E-10</v>
      </c>
    </row>
    <row r="26" spans="2:10" x14ac:dyDescent="0.2">
      <c r="C26">
        <f>(C23-C24)/C23</f>
        <v>-6.8008910925431029E-11</v>
      </c>
      <c r="J26">
        <f>K15/H15</f>
        <v>1.961736076716311</v>
      </c>
    </row>
    <row r="27" spans="2:10" x14ac:dyDescent="0.2">
      <c r="J27">
        <f>J26-J20</f>
        <v>-3.2019431550622812E-10</v>
      </c>
    </row>
  </sheetData>
  <mergeCells count="2">
    <mergeCell ref="F3:H3"/>
    <mergeCell ref="J3:L3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Long, Kenneth (STFC,RAL,PPD)</dc:creator>
  <cp:lastModifiedBy>Kenneth Long</cp:lastModifiedBy>
  <cp:lastPrinted>2025-12-04T08:03:05Z</cp:lastPrinted>
  <dcterms:created xsi:type="dcterms:W3CDTF">2025-11-24T21:52:00Z</dcterms:created>
  <dcterms:modified xsi:type="dcterms:W3CDTF">2025-12-04T08:07:37Z</dcterms:modified>
</cp:coreProperties>
</file>